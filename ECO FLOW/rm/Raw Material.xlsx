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CO FLOW\rm\"/>
    </mc:Choice>
  </mc:AlternateContent>
  <xr:revisionPtr revIDLastSave="0" documentId="13_ncr:1_{5668A6A9-DC87-4E45-8E74-977E96868F62}" xr6:coauthVersionLast="36" xr6:coauthVersionMax="36" xr10:uidLastSave="{00000000-0000-0000-0000-000000000000}"/>
  <bookViews>
    <workbookView xWindow="0" yWindow="0" windowWidth="19200" windowHeight="6990" xr2:uid="{00000000-000D-0000-FFFF-FFFF00000000}"/>
  </bookViews>
  <sheets>
    <sheet name="Raw_Material" sheetId="1" r:id="rId1"/>
  </sheets>
  <externalReferences>
    <externalReference r:id="rId2"/>
  </externalReferences>
  <definedNames>
    <definedName name="_xlnm._FilterDatabase" localSheetId="0" hidden="1">Raw_Material!$A$1:$G$219</definedName>
  </definedName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" i="1"/>
</calcChain>
</file>

<file path=xl/sharedStrings.xml><?xml version="1.0" encoding="utf-8"?>
<sst xmlns="http://schemas.openxmlformats.org/spreadsheetml/2006/main" count="1315" uniqueCount="258">
  <si>
    <t>Status</t>
  </si>
  <si>
    <t xml:space="preserve"> Raw Material Name</t>
  </si>
  <si>
    <t>Subcategory</t>
  </si>
  <si>
    <t>Category</t>
  </si>
  <si>
    <t>Category Type</t>
  </si>
  <si>
    <t>Draft</t>
  </si>
  <si>
    <t>Furniture</t>
  </si>
  <si>
    <t>Assets</t>
  </si>
  <si>
    <t>Item</t>
  </si>
  <si>
    <t>Die_13mm_BT5_Plastic Snap Button</t>
  </si>
  <si>
    <t>KITCHEN BASKET BIG</t>
  </si>
  <si>
    <t>SAMPLE FOLDER</t>
  </si>
  <si>
    <t>WEB CONTROL MACHINE</t>
  </si>
  <si>
    <t>WOODEN PALLET</t>
  </si>
  <si>
    <t>420 D NYLON BLACK PU COATED</t>
  </si>
  <si>
    <t>Airmesh_60"x65mtr_120GSM_Black</t>
  </si>
  <si>
    <t>BOPP DHPE/PP WOVEN LAM FABRIC</t>
  </si>
  <si>
    <t>CF_58"x50mtr_PVC Cherry Cord_6x2_ 400GSM_Black-5%</t>
  </si>
  <si>
    <t>CF_58"x50mtr_PVC Cherry Cord_6x2_400GSM_Navyblue-5%</t>
  </si>
  <si>
    <t>CF_58"x50mtr_PVC Cherry Cord_6x2_ 400GSM_RED+WR- 5%</t>
  </si>
  <si>
    <t>CF_60" 24No Cord_PU Coated_Black</t>
  </si>
  <si>
    <t>Cord Lock-Oval</t>
  </si>
  <si>
    <t>Cord Lock-Round  FCL_Standard</t>
  </si>
  <si>
    <t>Cord Lock-Sleek</t>
  </si>
  <si>
    <t>Cord Lock-Ultra</t>
  </si>
  <si>
    <t>GUCCHI MATTY COATED_BLACK_59031010</t>
  </si>
  <si>
    <t>GUCCHI MATTY_BLACK_54071019</t>
  </si>
  <si>
    <t>Heat Insulation Sheet- (SQM)</t>
  </si>
  <si>
    <t>Laminated Eva Fabric_5%</t>
  </si>
  <si>
    <t>LINER BLACK 190T</t>
  </si>
  <si>
    <t xml:space="preserve">Matty 2x2 – with PVC lamination yellow </t>
  </si>
  <si>
    <t>Matty Apc - 54071019</t>
  </si>
  <si>
    <t>PU COATED FABRIC_450 x 450 Matty_Purple_Shade -6268</t>
  </si>
  <si>
    <t>PVC SHEETING FILM</t>
  </si>
  <si>
    <t>Red Coated Fabrics With Uly_58" Inch coating WR -5%</t>
  </si>
  <si>
    <t>USB Cord with Cover</t>
  </si>
  <si>
    <t>PP Woven Silver Metpat Laminated 115 GSM</t>
  </si>
  <si>
    <t xml:space="preserve">2X2 MATTY PVC LAMINATED BLACK </t>
  </si>
  <si>
    <t xml:space="preserve">LINER 14 KG QUALITY BLACK </t>
  </si>
  <si>
    <t>Bubble Guard_1300mm*2000mm_1200GSM_Blue</t>
  </si>
  <si>
    <t>EP X PP SHEET</t>
  </si>
  <si>
    <t>Plane LDPE Poly Bag_31"x40"x240G</t>
  </si>
  <si>
    <t>PP Corrugated Sheet_1220mm*1800mm_700 GSM_4mm_Grey</t>
  </si>
  <si>
    <t>PP Corrugated Sheet_356* mm*381mm_900 GSM_5mm_Grey</t>
  </si>
  <si>
    <t>PP Corrugated Sheet_381* mm*369mm_900 GSM_5mm_Grey</t>
  </si>
  <si>
    <t>Pp Sheet 4 mm 700 Gsm Size L 14.5xW12"</t>
  </si>
  <si>
    <t>Pp Sheet 4 mm 700 Gsm Size L 14 x W11.5"</t>
  </si>
  <si>
    <t>Pp Sheet 4 mm 700 Gsm Size L 18.25"xW14.5"</t>
  </si>
  <si>
    <t>Pp Sheet 4 mm 700 Gsm Size L 18.25"xW5.5"</t>
  </si>
  <si>
    <t>PP Sheet_279.40mm*127mm_Black_Thickness_1.25mm_1200GSM</t>
  </si>
  <si>
    <t>Pvc_1.25"x10"_1010GSM_Black</t>
  </si>
  <si>
    <t>Pvc_1.25"x12.5"_1010GSM_Black</t>
  </si>
  <si>
    <t>Pvc_1.25"x13.5"_1010GSM_Black</t>
  </si>
  <si>
    <t xml:space="preserve"> PP Sheet 12 x 12 </t>
  </si>
  <si>
    <t xml:space="preserve">PP sheet 13 x 13 </t>
  </si>
  <si>
    <t xml:space="preserve">FLUTE 336 X 280 - 4.8 MM - 700 GSM </t>
  </si>
  <si>
    <t xml:space="preserve">FLUTE 159 X 280 - 4.8 MM - 700 GSM </t>
  </si>
  <si>
    <t xml:space="preserve">1.PP CORRUGATED SHEET-356*292- 700 GSM- BLACK- . (BLK) </t>
  </si>
  <si>
    <t>2. PP CORRUGATED SHEET-464*368- 700 GSM- BLACK- . (BLK)</t>
  </si>
  <si>
    <t>3. PP CORRUGATED SHEET-465*140- 700 GSM- BLACK-  Pcs. (BLK)</t>
  </si>
  <si>
    <t xml:space="preserve">PP CORRUGATED SHEET-305*305- 900 GSM- Virgin - Black </t>
  </si>
  <si>
    <t xml:space="preserve">POLYESTER NIWAR 25 MM </t>
  </si>
  <si>
    <t>PP NIWAR</t>
  </si>
  <si>
    <t>2ply-3000mtr-Black/Z/Y8961/N150</t>
  </si>
  <si>
    <t>3ply-1000mtr-Black/Z/Y8360/N125</t>
  </si>
  <si>
    <t>9 Line Pad</t>
  </si>
  <si>
    <t>ADJUSTER BUCKLE _20mm</t>
  </si>
  <si>
    <t>ALUMINIUM EXTRUDED PROFILE</t>
  </si>
  <si>
    <t>Aluminium Pipe Trolley Orgin</t>
  </si>
  <si>
    <t>Bottom Stud-75mm</t>
  </si>
  <si>
    <t>Bottom Stud-Oval FCL_58mm</t>
  </si>
  <si>
    <t>Bottom Stud Small_Black</t>
  </si>
  <si>
    <t>COTTON NIWAR- 48 mm beige</t>
  </si>
  <si>
    <t>D Ring "Polo"</t>
  </si>
  <si>
    <t>D_Ring_20mm Black_with Powder Coating_4mm</t>
  </si>
  <si>
    <t>D_Ring_25mm Black_with Powder Coating_4mm-5%</t>
  </si>
  <si>
    <t>EPE Rolls 1400 mm-10_mm-Black</t>
  </si>
  <si>
    <t>EPE Rolls 1400 mm-5 mm D/L-NAT</t>
  </si>
  <si>
    <t>EPE Rolls 1400 mm-8 mm-Black</t>
  </si>
  <si>
    <t>EPE Rolls 1500 mm-3_mm-Black</t>
  </si>
  <si>
    <t>EP X P BRADING</t>
  </si>
  <si>
    <t>EVA- Foam</t>
  </si>
  <si>
    <t>Expandeble Trolley</t>
  </si>
  <si>
    <t>Hand Puller</t>
  </si>
  <si>
    <t>Hook-Type 1_FF006</t>
  </si>
  <si>
    <t>Knitted Elastic -10 mm White</t>
  </si>
  <si>
    <t>Knitted Elastic -15 mm Black</t>
  </si>
  <si>
    <t>Knitted Elastic -15 mm Grey</t>
  </si>
  <si>
    <t>Knitted Elastic -20 mm Black</t>
  </si>
  <si>
    <t>Knitted Elastic -25 mm Black</t>
  </si>
  <si>
    <t>Knitted Elastic -38 mm Red</t>
  </si>
  <si>
    <t>Ladder Lock - Black -38mm - Leo</t>
  </si>
  <si>
    <t>LADDER LOCK FF</t>
  </si>
  <si>
    <t>LADDER LOCK SF</t>
  </si>
  <si>
    <t>Ladder Lock Virgo-20mm-Black</t>
  </si>
  <si>
    <t>Ladder Lock Virgo-25mm-Black</t>
  </si>
  <si>
    <t>LD_POLY_20 X 24 Inch_160 Gauge</t>
  </si>
  <si>
    <t>LOOP BUCKLE ADJUSTER_25mm</t>
  </si>
  <si>
    <t>LOOP BUCKLE ADJUSTER_30mm</t>
  </si>
  <si>
    <t xml:space="preserve">Niwar_25mm Black_6gm/mtr </t>
  </si>
  <si>
    <t>Niwar_38mm Black_6gm/mtr</t>
  </si>
  <si>
    <t xml:space="preserve">Niwar_38mm Black_9gm/mtr </t>
  </si>
  <si>
    <t>No.8 CFC Non Lock D Puller</t>
  </si>
  <si>
    <t>POLO HANDLES BLACK</t>
  </si>
  <si>
    <t>POLYCARBONATE SHEET(MULTI WALL)</t>
  </si>
  <si>
    <t xml:space="preserve">niwar - plain piping 4 gram 240 mtr average </t>
  </si>
  <si>
    <t>PP NIWAR_10mm_Black</t>
  </si>
  <si>
    <t>PP Niwar_38mm_JLD_40mtr/kg</t>
  </si>
  <si>
    <t>PRINTED POLYTHENE BAGS_12X16X240G MILKY</t>
  </si>
  <si>
    <t>Rectangle Buckle - Black - 38mm - Classic</t>
  </si>
  <si>
    <t>Rectangle Buckle - Black _25mm</t>
  </si>
  <si>
    <t>Rectangle Buckle - Black _50mm</t>
  </si>
  <si>
    <t>Rectangle Buckle - FF_30mm</t>
  </si>
  <si>
    <t xml:space="preserve">Reflective Tape-200 mtr </t>
  </si>
  <si>
    <t>Reflective Tape_25mm x 90mtr_Grey-5%</t>
  </si>
  <si>
    <t>RIVET</t>
  </si>
  <si>
    <t>Round Bottom Stud Lug Soft-STD-Black</t>
  </si>
  <si>
    <t>RUBBER GROMMET PANEL</t>
  </si>
  <si>
    <t>SCREW-19MM</t>
  </si>
  <si>
    <t>SHOLDAR PAD FF-032_38mm</t>
  </si>
  <si>
    <t>SHOLDAR PAD_2inch</t>
  </si>
  <si>
    <t>SHRINK WRAP ROLL</t>
  </si>
  <si>
    <t>Side Button Trolley</t>
  </si>
  <si>
    <t>Slider#08_F87988SUN 580</t>
  </si>
  <si>
    <t>Slider #10 No._CX7989SUN_580_Black-5%</t>
  </si>
  <si>
    <t>Slider #8 No._C87988SUN_580_Black- 5%</t>
  </si>
  <si>
    <t>Slider_#8 No.C819RCECOLONG-60GM-PCT-01-5%</t>
  </si>
  <si>
    <t>Square Buckle - Black - 20mm</t>
  </si>
  <si>
    <t>Square Buckle - Black - 25mm</t>
  </si>
  <si>
    <t>Square Buckle - Black - 32mm</t>
  </si>
  <si>
    <t>Square Buckle - Black - 38mm - Classic</t>
  </si>
  <si>
    <t>Square Buckle - FF_Black- 20mm</t>
  </si>
  <si>
    <t>SQUARE BUCKLE IFC_25mm</t>
  </si>
  <si>
    <t>SR Clamp-Black -20mm - Draco</t>
  </si>
  <si>
    <t>SR Clamp-Black -25mm - Draco</t>
  </si>
  <si>
    <t>SR Clamp-Black -25mm - Indus</t>
  </si>
  <si>
    <t>SR Clamp-Black - 38mm - Draco</t>
  </si>
  <si>
    <t>SR Clamp-Black -38mm - Indus</t>
  </si>
  <si>
    <t>SR Clamp-Ultra  FF_25mm</t>
  </si>
  <si>
    <t>SR Clamp_20mm</t>
  </si>
  <si>
    <t>SR Clamp_25mm</t>
  </si>
  <si>
    <t>THREAD FOR SACK SEWING</t>
  </si>
  <si>
    <t>Thread_2Ply*100000mtr_Red/Z/TKT60</t>
  </si>
  <si>
    <t>Thread_2Ply*10000mtr_White/Z/TKT60</t>
  </si>
  <si>
    <t>Thread_2Ply*10000mtr_Yellow/Z/TKT60</t>
  </si>
  <si>
    <t>Thread_2Ply*2000mtr_Black/Z/J150- 5%</t>
  </si>
  <si>
    <t>Thread_2Ply*2000mtr_Golden yellow/Z/J150</t>
  </si>
  <si>
    <t>Thread_2Ply*2000mtr_Golden Yellow_N166/J150-5%</t>
  </si>
  <si>
    <t>Thread_2Ply*2000mtr_Grey/N141/J150-5%</t>
  </si>
  <si>
    <t>Thread_2Ply*2000mtr_Grey/Z/J150</t>
  </si>
  <si>
    <t>Thread_2Ply*2000mtr_Navyblue/N920/J150_5%</t>
  </si>
  <si>
    <t>Thread_2Ply*2000mtr_Red/Z/J150</t>
  </si>
  <si>
    <t>Thread_3Ply*1000mtr_Blue/Z/ULTRA DEE/TKT30</t>
  </si>
  <si>
    <t>Thread_3Ply*1000mtr_M Green/Z/ULTRA DEE/TKT30</t>
  </si>
  <si>
    <t>Thread_3Ply*1000mtr_Red/Z/ULTRA DEE/TKT30</t>
  </si>
  <si>
    <t>Thread_3Ply*1500mtr_Black/Z/J125- 5%</t>
  </si>
  <si>
    <t>Thread_3Ply*1500mtr_Golden yellow/Z/J125</t>
  </si>
  <si>
    <t>Thread_3Ply*1500mtr_Golden Yellow_N166/J125-5%</t>
  </si>
  <si>
    <t>Thread_3Ply*1500mtr_Red/N5710/J125-5%</t>
  </si>
  <si>
    <t>Thread_3Ply*1500mtr_Red/Z/J125</t>
  </si>
  <si>
    <t>Thread_3Ply*400mtr_Blue/Z/TKT120</t>
  </si>
  <si>
    <t>Thread_3Ply*400mtr_Brown/Z/TKT120</t>
  </si>
  <si>
    <t>Thread_3Ply*400mtr_C Green/Z/TKT120</t>
  </si>
  <si>
    <t>Thread_3Ply*400mtr_Dark Green/Z/TKT120</t>
  </si>
  <si>
    <t>Thread_3Ply*400mtr_Dark grey/Z/TKT120</t>
  </si>
  <si>
    <t>Thread_3Ply*400mtr_Fluorescent yellow/Z/TKT120</t>
  </si>
  <si>
    <t>Thread_3Ply*400mtr_Golden yellow/Z/TKT120</t>
  </si>
  <si>
    <t>Thread_3Ply*400mtr_Golden/Z/TKT120</t>
  </si>
  <si>
    <t>Thread_3Ply*400mtr_Light Brown/Z/TKT120</t>
  </si>
  <si>
    <t>Thread_3Ply*400mtr_Maroon/Z/TKT120</t>
  </si>
  <si>
    <t>Thread_3Ply*400mtr_Orange/Z/TKT120</t>
  </si>
  <si>
    <t>Thread_3Ply*400mtr_Red/Z/TKT120</t>
  </si>
  <si>
    <t>Thread_3Ply*5000mtr_Black_Y260</t>
  </si>
  <si>
    <t>Triangle Buckle-N</t>
  </si>
  <si>
    <t>USB CHARGING  IFC</t>
  </si>
  <si>
    <t>Velcro -Micro Hook-10mm-1000 Mtr White-GBS</t>
  </si>
  <si>
    <t>Velcro _2 Side-50mm-Black</t>
  </si>
  <si>
    <t>Velcro _Hook-10mm-White_Max</t>
  </si>
  <si>
    <t>Velcro _hook-110mm-Black</t>
  </si>
  <si>
    <t>Velcro _Hook-15mm-White_With adhesive</t>
  </si>
  <si>
    <t>Velcro _Hook-20mm-White_Classic</t>
  </si>
  <si>
    <t>Velcro _hook-20mm-White_Maestro</t>
  </si>
  <si>
    <t>Velcro _Hook-25mm-Black_Diamond</t>
  </si>
  <si>
    <t>Velcro _Hook-25mm-Red_Welar</t>
  </si>
  <si>
    <t>Velcro _Hook-25mm-White_Max</t>
  </si>
  <si>
    <t>Velcro _Hook-38mm-Black_Diamond</t>
  </si>
  <si>
    <t>Velcro _Hook-38mm-Black_K fast</t>
  </si>
  <si>
    <t>Velcro _Hook-50mm-Black_Max</t>
  </si>
  <si>
    <t>Velcro _Loop-10mm-White_Max</t>
  </si>
  <si>
    <t>Velcro _Loop-20mm-White_Classic</t>
  </si>
  <si>
    <t>Velcro _Loop-20mm-White_Maestro</t>
  </si>
  <si>
    <t>Velcro _Loop-20mm-White_Ultra</t>
  </si>
  <si>
    <t>Velcro _Loop-25mm-Black_Diamond</t>
  </si>
  <si>
    <t>Velcro _Loop-25mm-Red_Welar</t>
  </si>
  <si>
    <t>Velcro _Loop-25mm-White_Max</t>
  </si>
  <si>
    <t>Velcro _Loop-38mm-Black_Diamond</t>
  </si>
  <si>
    <t>Velcro _Loop-50mm-Black_Max</t>
  </si>
  <si>
    <t>Washer</t>
  </si>
  <si>
    <t>Water Proof Zipper_7No.</t>
  </si>
  <si>
    <t>WFSF_60"_24No_Black</t>
  </si>
  <si>
    <t>Zip_#10No.Black/10CZR30K100YRB-5%</t>
  </si>
  <si>
    <t>Zip_#8 No.Black/8 CFC 1.8K100YRB</t>
  </si>
  <si>
    <t>Zip_39mm Width_#8 No.Black/8 CFC 2.2K100YRB-5%</t>
  </si>
  <si>
    <t>Bottom Stud Round Stand Black-Ff114</t>
  </si>
  <si>
    <t>Hook-Black - 38mm-Alpha</t>
  </si>
  <si>
    <t>PP WOVEN BAG_38"*34"_Printed</t>
  </si>
  <si>
    <t>S.S WIRE 3mm</t>
  </si>
  <si>
    <t>STEEL RING</t>
  </si>
  <si>
    <t xml:space="preserve">5 NO. CFC GREEN 2.400 KG - 180 MTR </t>
  </si>
  <si>
    <t xml:space="preserve">5 NO. CFC YELLOW 2.400 KG - 180 MTR </t>
  </si>
  <si>
    <t xml:space="preserve">5 NO. CFC ORANGE 2.400 KG - 180 MTR </t>
  </si>
  <si>
    <t xml:space="preserve">5 NO. CFC WHITE 2.400 KG - 180 MTR </t>
  </si>
  <si>
    <t xml:space="preserve">5 NO. CFC RED 2.400 KG - 180 MTR </t>
  </si>
  <si>
    <t xml:space="preserve">5 NO. CFC BLACK 2.400 KG - 180 MTR </t>
  </si>
  <si>
    <t xml:space="preserve">5 NO. CFC BLUE 2.400 KG - 180 MTR </t>
  </si>
  <si>
    <t xml:space="preserve">DORI 5 PLY </t>
  </si>
  <si>
    <t>Knitted Elastic -30 mm Black</t>
  </si>
  <si>
    <t xml:space="preserve">D ring Flat - 25 mm Plastic </t>
  </si>
  <si>
    <t xml:space="preserve">BAG CLOSURE THREAD 3 PLY </t>
  </si>
  <si>
    <t xml:space="preserve">25 MM PREMIUM SOFT 270 PER KG / 60 MTR </t>
  </si>
  <si>
    <t xml:space="preserve">PP NIWAR 25 MM 4.67 GRAM / 200 MTR PER KG BLACK </t>
  </si>
  <si>
    <t xml:space="preserve">YKK BLACK - 5 NO. - RC CFC- 200 MTR PER BUNDLE </t>
  </si>
  <si>
    <t>YKK SLIDER RC 5 NO. CFC REVERSE BODY DFB2WEJ</t>
  </si>
  <si>
    <t xml:space="preserve">YKK SLIDER RC 5 NO. CFC REVERSE BODY DFB2WEJ- SHORT PULLER </t>
  </si>
  <si>
    <t>A/4 Sticker Label (White)</t>
  </si>
  <si>
    <t>Sticker Print-18%</t>
  </si>
  <si>
    <t>Tefta Label with QR Code_40mm x 50 mm- 5%</t>
  </si>
  <si>
    <t>Plastic Fittings</t>
  </si>
  <si>
    <t>Tool</t>
  </si>
  <si>
    <t>Machine</t>
  </si>
  <si>
    <t>Coated Fabric</t>
  </si>
  <si>
    <t>Airmesh Fabric</t>
  </si>
  <si>
    <t>Thermal Fabric</t>
  </si>
  <si>
    <t>Cord Lock</t>
  </si>
  <si>
    <t>Foam</t>
  </si>
  <si>
    <t>Bubble Guard</t>
  </si>
  <si>
    <t>Poly Bag</t>
  </si>
  <si>
    <t>Flute Board</t>
  </si>
  <si>
    <t>PP Sheet</t>
  </si>
  <si>
    <t>Niwar / Webbing</t>
  </si>
  <si>
    <t>Sewing Thread</t>
  </si>
  <si>
    <t>Buckle</t>
  </si>
  <si>
    <t>Metal Fittings</t>
  </si>
  <si>
    <t>Stud / Bottom Stud</t>
  </si>
  <si>
    <t>D Ring</t>
  </si>
  <si>
    <t>Elastic Tape</t>
  </si>
  <si>
    <t>Reflective Tape</t>
  </si>
  <si>
    <t>Velcro Tape</t>
  </si>
  <si>
    <t>Zipper</t>
  </si>
  <si>
    <t>Labels &amp; Stickers</t>
  </si>
  <si>
    <t>Fabric</t>
  </si>
  <si>
    <t>Packing Trims</t>
  </si>
  <si>
    <t>Sewing Trims</t>
  </si>
  <si>
    <t>Stationery</t>
  </si>
  <si>
    <t>UOM</t>
  </si>
  <si>
    <t>Pcs</t>
  </si>
  <si>
    <t>Mtr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</si>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</sst>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ge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C1" t="str">
            <v>Item</v>
          </cell>
          <cell r="D1" t="str">
            <v>Description</v>
          </cell>
          <cell r="E1" t="str">
            <v>Purchase Price</v>
          </cell>
          <cell r="F1" t="str">
            <v>HSN</v>
          </cell>
          <cell r="G1" t="str">
            <v>GST</v>
          </cell>
          <cell r="H1" t="str">
            <v xml:space="preserve">Stock Quantity </v>
          </cell>
        </row>
        <row r="2">
          <cell r="C2" t="str">
            <v>Die_13mm_BT5_Plastic Snap Button</v>
          </cell>
          <cell r="D2" t="str">
            <v>LOOP BUCKLE ADJUSTER_30mm</v>
          </cell>
          <cell r="E2">
            <v>250</v>
          </cell>
          <cell r="F2">
            <v>8207</v>
          </cell>
          <cell r="G2">
            <v>18</v>
          </cell>
          <cell r="H2">
            <v>5</v>
          </cell>
        </row>
        <row r="3">
          <cell r="C3" t="str">
            <v>KITCHEN BASKET BIG</v>
          </cell>
          <cell r="E3">
            <v>211.87</v>
          </cell>
          <cell r="F3">
            <v>39249090</v>
          </cell>
          <cell r="G3">
            <v>18</v>
          </cell>
          <cell r="H3">
            <v>60</v>
          </cell>
        </row>
        <row r="4">
          <cell r="C4" t="str">
            <v>SAMPLE FOLDER</v>
          </cell>
          <cell r="E4">
            <v>1500</v>
          </cell>
          <cell r="F4">
            <v>84529099</v>
          </cell>
          <cell r="G4">
            <v>5</v>
          </cell>
          <cell r="H4">
            <v>8</v>
          </cell>
        </row>
        <row r="5">
          <cell r="C5" t="str">
            <v>WEB CONTROL MACHINE</v>
          </cell>
          <cell r="E5">
            <v>88000</v>
          </cell>
          <cell r="F5">
            <v>84437604</v>
          </cell>
          <cell r="G5">
            <v>18</v>
          </cell>
          <cell r="H5">
            <v>1</v>
          </cell>
        </row>
        <row r="6">
          <cell r="C6" t="str">
            <v>WOODEN PALLET</v>
          </cell>
          <cell r="E6">
            <v>1400</v>
          </cell>
          <cell r="F6">
            <v>4415</v>
          </cell>
          <cell r="G6">
            <v>5</v>
          </cell>
          <cell r="H6">
            <v>52</v>
          </cell>
        </row>
        <row r="7">
          <cell r="C7" t="str">
            <v>420 D NYLON BLACK PU COATED</v>
          </cell>
          <cell r="D7" t="str">
            <v>Bottom Stud-75mm</v>
          </cell>
          <cell r="E7">
            <v>300</v>
          </cell>
          <cell r="F7">
            <v>54071099</v>
          </cell>
          <cell r="G7">
            <v>5</v>
          </cell>
          <cell r="H7">
            <v>5</v>
          </cell>
        </row>
        <row r="8">
          <cell r="C8" t="str">
            <v>Airmesh_60"x65mtr_120GSM_Black</v>
          </cell>
          <cell r="D8" t="str">
            <v>Cord Lock-Round  FCL_Standard</v>
          </cell>
          <cell r="E8">
            <v>52</v>
          </cell>
          <cell r="F8">
            <v>60053100</v>
          </cell>
          <cell r="G8">
            <v>5</v>
          </cell>
          <cell r="H8">
            <v>6928</v>
          </cell>
        </row>
        <row r="9">
          <cell r="C9" t="str">
            <v>BOPP DHPE/PP WOVEN LAM FABRIC</v>
          </cell>
          <cell r="D9" t="str">
            <v>COTTON NIWAR- 48 mm beige</v>
          </cell>
          <cell r="E9">
            <v>170</v>
          </cell>
          <cell r="F9">
            <v>39269080</v>
          </cell>
          <cell r="G9">
            <v>18</v>
          </cell>
          <cell r="H9">
            <v>25</v>
          </cell>
        </row>
        <row r="10">
          <cell r="C10" t="str">
            <v>CF_58"x50mtr_PVC Cherry Cord_6x2_ 400GSM_Black-5%</v>
          </cell>
          <cell r="D10" t="str">
            <v>Knitted Elastic -15 mm Black</v>
          </cell>
          <cell r="E10">
            <v>105</v>
          </cell>
          <cell r="F10">
            <v>59031090</v>
          </cell>
          <cell r="G10">
            <v>5</v>
          </cell>
          <cell r="H10">
            <v>6.8340000000000032</v>
          </cell>
        </row>
        <row r="11">
          <cell r="C11" t="str">
            <v>CF_58"x50mtr_PVC Cherry Cord_6x2_400GSM_Navyblue-5%</v>
          </cell>
          <cell r="D11" t="str">
            <v>Knitted Elastic -15 mm Grey</v>
          </cell>
          <cell r="E11">
            <v>90</v>
          </cell>
          <cell r="F11">
            <v>59031090</v>
          </cell>
          <cell r="G11">
            <v>5</v>
          </cell>
          <cell r="H11">
            <v>450</v>
          </cell>
        </row>
        <row r="12">
          <cell r="C12" t="str">
            <v>CF_58"x50mtr_PVC Cherry Cord_6x2_ 400GSM_RED+WR- 5%</v>
          </cell>
          <cell r="D12" t="str">
            <v>Knitted Elastic -20 mm Black</v>
          </cell>
          <cell r="E12">
            <v>98</v>
          </cell>
          <cell r="F12">
            <v>59031090</v>
          </cell>
          <cell r="G12">
            <v>5</v>
          </cell>
          <cell r="H12">
            <v>0</v>
          </cell>
        </row>
        <row r="13">
          <cell r="C13" t="str">
            <v>CF_60" 24No Cord_PU Coated_Black</v>
          </cell>
          <cell r="D13" t="str">
            <v>Ladder Lock - Black -38mm - Leo</v>
          </cell>
          <cell r="E13">
            <v>74</v>
          </cell>
          <cell r="F13">
            <v>590310</v>
          </cell>
          <cell r="G13">
            <v>5</v>
          </cell>
          <cell r="H13">
            <v>0</v>
          </cell>
        </row>
        <row r="14">
          <cell r="C14" t="str">
            <v>Cord Lock-Oval</v>
          </cell>
          <cell r="D14" t="str">
            <v>LADDER LOCK FF</v>
          </cell>
          <cell r="E14">
            <v>1</v>
          </cell>
          <cell r="F14">
            <v>39269049</v>
          </cell>
          <cell r="G14">
            <v>18</v>
          </cell>
          <cell r="H14">
            <v>557</v>
          </cell>
        </row>
        <row r="15">
          <cell r="C15" t="str">
            <v>Cord Lock-Round  FCL_Standard</v>
          </cell>
          <cell r="D15" t="str">
            <v>LADDER LOCK SF</v>
          </cell>
          <cell r="E15">
            <v>1</v>
          </cell>
          <cell r="F15">
            <v>39269049</v>
          </cell>
          <cell r="G15">
            <v>18</v>
          </cell>
          <cell r="H15">
            <v>866</v>
          </cell>
        </row>
        <row r="16">
          <cell r="C16" t="str">
            <v>Cord Lock-Sleek</v>
          </cell>
          <cell r="D16" t="str">
            <v>Ladder Lock Virgo-20mm-Black</v>
          </cell>
          <cell r="E16">
            <v>1</v>
          </cell>
          <cell r="F16">
            <v>39269049</v>
          </cell>
          <cell r="G16">
            <v>18</v>
          </cell>
          <cell r="H16">
            <v>105</v>
          </cell>
        </row>
        <row r="17">
          <cell r="C17" t="str">
            <v>Cord Lock-Ultra</v>
          </cell>
          <cell r="D17" t="str">
            <v>LD_POLY_20 X 24 Inch_160 Gauge</v>
          </cell>
          <cell r="E17">
            <v>1</v>
          </cell>
          <cell r="F17">
            <v>39269049</v>
          </cell>
          <cell r="G17">
            <v>18</v>
          </cell>
          <cell r="H17">
            <v>140</v>
          </cell>
        </row>
        <row r="18">
          <cell r="C18" t="str">
            <v>GUCCHI MATTY COATED_BLACK_59031010</v>
          </cell>
          <cell r="D18" t="str">
            <v>SQUARE BUCKLE IFC_25mm</v>
          </cell>
          <cell r="E18">
            <v>200</v>
          </cell>
          <cell r="F18">
            <v>59031010</v>
          </cell>
          <cell r="G18">
            <v>5</v>
          </cell>
          <cell r="H18">
            <v>10</v>
          </cell>
        </row>
        <row r="19">
          <cell r="C19" t="str">
            <v>GUCCHI MATTY_BLACK_54071019</v>
          </cell>
          <cell r="D19" t="str">
            <v>SR Clamp-Black -20mm - Draco</v>
          </cell>
          <cell r="E19">
            <v>150</v>
          </cell>
          <cell r="F19">
            <v>54071019</v>
          </cell>
          <cell r="G19">
            <v>5</v>
          </cell>
          <cell r="H19">
            <v>10</v>
          </cell>
        </row>
        <row r="20">
          <cell r="C20" t="str">
            <v>Heat Insulation Sheet- (SQM)</v>
          </cell>
          <cell r="D20" t="str">
            <v>SR Clamp-Ultra  FF_25mm</v>
          </cell>
          <cell r="E20">
            <v>49.5</v>
          </cell>
          <cell r="F20">
            <v>30201012</v>
          </cell>
          <cell r="G20">
            <v>18</v>
          </cell>
          <cell r="H20">
            <v>200</v>
          </cell>
        </row>
        <row r="21">
          <cell r="C21" t="str">
            <v>Laminated Eva Fabric_5%</v>
          </cell>
          <cell r="D21" t="str">
            <v xml:space="preserve">5 NO. CFC RED 2.400 KG - 180 MTR </v>
          </cell>
          <cell r="E21">
            <v>120</v>
          </cell>
          <cell r="F21">
            <v>5903</v>
          </cell>
          <cell r="G21">
            <v>5</v>
          </cell>
          <cell r="H21">
            <v>5</v>
          </cell>
        </row>
        <row r="22">
          <cell r="C22" t="str">
            <v>LINER BLACK 190T</v>
          </cell>
          <cell r="D22" t="str">
            <v xml:space="preserve">5 NO. CFC BLUE 2.400 KG - 180 MTR </v>
          </cell>
          <cell r="E22">
            <v>25</v>
          </cell>
          <cell r="F22">
            <v>5407</v>
          </cell>
          <cell r="G22">
            <v>5</v>
          </cell>
          <cell r="H22">
            <v>200.20000000000073</v>
          </cell>
        </row>
        <row r="23">
          <cell r="C23" t="str">
            <v xml:space="preserve">Matty 2x2 – with PVC lamination yellow </v>
          </cell>
          <cell r="D23" t="str">
            <v xml:space="preserve">BAG CLOSURE THREAD 3 PLY </v>
          </cell>
          <cell r="E23">
            <v>72</v>
          </cell>
          <cell r="F23">
            <v>59031090</v>
          </cell>
          <cell r="G23">
            <v>5</v>
          </cell>
          <cell r="H23">
            <v>250</v>
          </cell>
        </row>
        <row r="24">
          <cell r="C24" t="str">
            <v>Matty Apc - 54071019</v>
          </cell>
          <cell r="D24" t="str">
            <v xml:space="preserve">25 MM PREMIUM SOFT 270 PER KG / 60 MTR </v>
          </cell>
          <cell r="E24">
            <v>73</v>
          </cell>
          <cell r="F24">
            <v>54071019</v>
          </cell>
          <cell r="G24">
            <v>5</v>
          </cell>
          <cell r="H24">
            <v>0.1999999999998181</v>
          </cell>
        </row>
        <row r="25">
          <cell r="C25" t="str">
            <v>PU COATED FABRIC_450 x 450 Matty_Purple_Shade -6268</v>
          </cell>
          <cell r="E25">
            <v>100</v>
          </cell>
          <cell r="F25">
            <v>590310</v>
          </cell>
          <cell r="G25">
            <v>5</v>
          </cell>
          <cell r="H25">
            <v>320</v>
          </cell>
        </row>
        <row r="26">
          <cell r="C26" t="str">
            <v>PVC SHEETING FILM</v>
          </cell>
          <cell r="E26">
            <v>155</v>
          </cell>
          <cell r="F26">
            <v>39204300</v>
          </cell>
          <cell r="G26">
            <v>18</v>
          </cell>
          <cell r="H26">
            <v>53.364000000000033</v>
          </cell>
        </row>
        <row r="27">
          <cell r="C27" t="str">
            <v>Red Coated Fabrics With Uly_58" Inch coating WR -5%</v>
          </cell>
          <cell r="E27">
            <v>90</v>
          </cell>
          <cell r="F27">
            <v>590310</v>
          </cell>
          <cell r="G27">
            <v>5</v>
          </cell>
          <cell r="H27">
            <v>0</v>
          </cell>
        </row>
        <row r="28">
          <cell r="C28" t="str">
            <v>USB Cord with Cover</v>
          </cell>
          <cell r="E28">
            <v>20</v>
          </cell>
          <cell r="F28">
            <v>8544</v>
          </cell>
          <cell r="G28">
            <v>18</v>
          </cell>
          <cell r="H28">
            <v>20</v>
          </cell>
        </row>
        <row r="29">
          <cell r="C29" t="str">
            <v>PP Woven Silver Metpat Laminated 115 GSM</v>
          </cell>
          <cell r="E29">
            <v>227</v>
          </cell>
          <cell r="F29">
            <v>39269080</v>
          </cell>
          <cell r="G29">
            <v>18</v>
          </cell>
          <cell r="H29">
            <v>33129.599999999999</v>
          </cell>
        </row>
        <row r="30">
          <cell r="C30" t="str">
            <v xml:space="preserve">2X2 MATTY PVC LAMINATED BLACK </v>
          </cell>
          <cell r="E30">
            <v>72</v>
          </cell>
          <cell r="F30">
            <v>59031090</v>
          </cell>
          <cell r="G30">
            <v>5</v>
          </cell>
          <cell r="H30">
            <v>7168</v>
          </cell>
        </row>
        <row r="31">
          <cell r="C31" t="str">
            <v xml:space="preserve">LINER 14 KG QUALITY BLACK </v>
          </cell>
          <cell r="E31">
            <v>25</v>
          </cell>
          <cell r="F31">
            <v>5407</v>
          </cell>
          <cell r="G31">
            <v>5</v>
          </cell>
          <cell r="H31">
            <v>0</v>
          </cell>
        </row>
        <row r="32">
          <cell r="C32" t="str">
            <v>Bubble Guard_1300mm*2000mm_1200GSM_Blue</v>
          </cell>
          <cell r="D32" t="str">
            <v>Knitted Elastic -10 mm White</v>
          </cell>
          <cell r="E32">
            <v>568</v>
          </cell>
          <cell r="F32">
            <v>39202090</v>
          </cell>
          <cell r="G32">
            <v>18</v>
          </cell>
          <cell r="H32">
            <v>106</v>
          </cell>
        </row>
        <row r="33">
          <cell r="C33" t="str">
            <v>EP X PP SHEET</v>
          </cell>
          <cell r="D33" t="str">
            <v>Square Buckle - Black - 25mm</v>
          </cell>
          <cell r="E33">
            <v>80</v>
          </cell>
          <cell r="F33">
            <v>3920</v>
          </cell>
          <cell r="G33">
            <v>18</v>
          </cell>
          <cell r="H33">
            <v>100</v>
          </cell>
        </row>
        <row r="34">
          <cell r="C34" t="str">
            <v>Plane LDPE Poly Bag_31"x40"x240G</v>
          </cell>
          <cell r="E34">
            <v>11.5</v>
          </cell>
          <cell r="F34">
            <v>39201019</v>
          </cell>
          <cell r="G34">
            <v>18</v>
          </cell>
          <cell r="H34">
            <v>2250</v>
          </cell>
        </row>
        <row r="35">
          <cell r="C35" t="str">
            <v>PP Corrugated Sheet_1220mm*1800mm_700 GSM_4mm_Grey</v>
          </cell>
          <cell r="E35">
            <v>210.87</v>
          </cell>
          <cell r="F35">
            <v>39202090</v>
          </cell>
          <cell r="G35">
            <v>18</v>
          </cell>
          <cell r="H35">
            <v>40</v>
          </cell>
        </row>
        <row r="36">
          <cell r="C36" t="str">
            <v>PP Corrugated Sheet_356* mm*381mm_900 GSM_5mm_Grey</v>
          </cell>
          <cell r="E36">
            <v>17.329999999999998</v>
          </cell>
          <cell r="F36">
            <v>39202090</v>
          </cell>
          <cell r="G36">
            <v>18</v>
          </cell>
          <cell r="H36">
            <v>12000</v>
          </cell>
        </row>
        <row r="37">
          <cell r="C37" t="str">
            <v>PP Corrugated Sheet_381* mm*369mm_900 GSM_5mm_Grey</v>
          </cell>
          <cell r="E37">
            <v>17.989999999999998</v>
          </cell>
          <cell r="F37">
            <v>39202090</v>
          </cell>
          <cell r="G37">
            <v>18</v>
          </cell>
          <cell r="H37">
            <v>12000</v>
          </cell>
        </row>
        <row r="38">
          <cell r="C38" t="str">
            <v>Pp Sheet 4 mm 700 Gsm Size L 14.5xW12"</v>
          </cell>
          <cell r="E38">
            <v>11.03</v>
          </cell>
          <cell r="F38">
            <v>39202090</v>
          </cell>
          <cell r="G38">
            <v>18</v>
          </cell>
          <cell r="H38">
            <v>5222</v>
          </cell>
        </row>
        <row r="39">
          <cell r="C39" t="str">
            <v>Pp Sheet 4 mm 700 Gsm Size L 14 x W11.5"</v>
          </cell>
          <cell r="E39">
            <v>9.9499999999999993</v>
          </cell>
          <cell r="F39">
            <v>39202090</v>
          </cell>
          <cell r="G39">
            <v>18</v>
          </cell>
          <cell r="H39">
            <v>5222</v>
          </cell>
        </row>
        <row r="40">
          <cell r="C40" t="str">
            <v>Pp Sheet 4 mm 700 Gsm Size L 18.25"xW14.5"</v>
          </cell>
          <cell r="E40">
            <v>17.45</v>
          </cell>
          <cell r="F40">
            <v>39202090</v>
          </cell>
          <cell r="G40">
            <v>18</v>
          </cell>
          <cell r="H40">
            <v>10444</v>
          </cell>
        </row>
        <row r="41">
          <cell r="C41" t="str">
            <v>Pp Sheet 4 mm 700 Gsm Size L 18.25"xW5.5"</v>
          </cell>
          <cell r="E41">
            <v>6.97</v>
          </cell>
          <cell r="F41">
            <v>39202090</v>
          </cell>
          <cell r="G41">
            <v>18</v>
          </cell>
          <cell r="H41">
            <v>20888</v>
          </cell>
        </row>
        <row r="42">
          <cell r="C42" t="str">
            <v>PP Sheet_279.40mm*127mm_Black_Thickness_1.25mm_1200GSM</v>
          </cell>
          <cell r="E42">
            <v>3.5</v>
          </cell>
          <cell r="F42">
            <v>3920</v>
          </cell>
          <cell r="G42">
            <v>18</v>
          </cell>
          <cell r="H42">
            <v>2747</v>
          </cell>
        </row>
        <row r="43">
          <cell r="C43" t="str">
            <v>Pvc_1.25"x10"_1010GSM_Black</v>
          </cell>
          <cell r="E43">
            <v>0.55000000000000004</v>
          </cell>
          <cell r="F43">
            <v>39211100</v>
          </cell>
          <cell r="G43">
            <v>18</v>
          </cell>
          <cell r="H43">
            <v>61444</v>
          </cell>
        </row>
        <row r="44">
          <cell r="C44" t="str">
            <v>Pvc_1.25"x12.5"_1010GSM_Black</v>
          </cell>
          <cell r="E44">
            <v>66</v>
          </cell>
          <cell r="F44">
            <v>39211100</v>
          </cell>
          <cell r="G44">
            <v>18</v>
          </cell>
          <cell r="H44">
            <v>83150</v>
          </cell>
        </row>
        <row r="45">
          <cell r="C45" t="str">
            <v>Pvc_1.25"x13.5"_1010GSM_Black</v>
          </cell>
          <cell r="E45">
            <v>0.73</v>
          </cell>
          <cell r="F45">
            <v>39211100</v>
          </cell>
          <cell r="G45">
            <v>18</v>
          </cell>
          <cell r="H45">
            <v>45878</v>
          </cell>
        </row>
        <row r="46">
          <cell r="C46" t="str">
            <v xml:space="preserve"> PP Sheet 12 x 12 </v>
          </cell>
          <cell r="E46">
            <v>5.76</v>
          </cell>
          <cell r="F46">
            <v>3920</v>
          </cell>
          <cell r="G46">
            <v>18</v>
          </cell>
          <cell r="H46">
            <v>65000</v>
          </cell>
        </row>
        <row r="47">
          <cell r="C47" t="str">
            <v xml:space="preserve">PP sheet 13 x 13 </v>
          </cell>
          <cell r="E47">
            <v>6.74</v>
          </cell>
          <cell r="F47">
            <v>3920</v>
          </cell>
          <cell r="G47">
            <v>18</v>
          </cell>
          <cell r="H47">
            <v>65900</v>
          </cell>
        </row>
        <row r="48">
          <cell r="C48" t="str">
            <v xml:space="preserve">FLUTE 336 X 280 - 4.8 MM - 700 GSM </v>
          </cell>
          <cell r="E48">
            <v>11.37</v>
          </cell>
          <cell r="F48">
            <v>39202090</v>
          </cell>
          <cell r="G48">
            <v>18</v>
          </cell>
          <cell r="H48">
            <v>68909</v>
          </cell>
        </row>
        <row r="49">
          <cell r="C49" t="str">
            <v xml:space="preserve">FLUTE 159 X 280 - 4.8 MM - 700 GSM </v>
          </cell>
          <cell r="E49">
            <v>5.4</v>
          </cell>
          <cell r="F49">
            <v>39202090</v>
          </cell>
          <cell r="G49">
            <v>18</v>
          </cell>
          <cell r="H49">
            <v>140000</v>
          </cell>
        </row>
        <row r="50">
          <cell r="C50" t="str">
            <v xml:space="preserve">1.PP CORRUGATED SHEET-356*292- 700 GSM- BLACK- . (BLK) </v>
          </cell>
          <cell r="E50">
            <v>15.34</v>
          </cell>
          <cell r="F50">
            <v>39202090</v>
          </cell>
          <cell r="G50">
            <v>18</v>
          </cell>
          <cell r="H50">
            <v>0</v>
          </cell>
        </row>
        <row r="51">
          <cell r="C51" t="str">
            <v>2. PP CORRUGATED SHEET-464*368- 700 GSM- BLACK- . (BLK)</v>
          </cell>
          <cell r="F51">
            <v>39202090</v>
          </cell>
          <cell r="G51">
            <v>18</v>
          </cell>
          <cell r="H51">
            <v>0</v>
          </cell>
        </row>
        <row r="52">
          <cell r="C52" t="str">
            <v>3. PP CORRUGATED SHEET-465*140- 700 GSM- BLACK-  Pcs. (BLK)</v>
          </cell>
          <cell r="F52">
            <v>39202090</v>
          </cell>
          <cell r="G52">
            <v>18</v>
          </cell>
          <cell r="H52">
            <v>0</v>
          </cell>
        </row>
        <row r="53">
          <cell r="C53" t="str">
            <v xml:space="preserve">PP CORRUGATED SHEET-305*305- 900 GSM- Virgin - Black </v>
          </cell>
          <cell r="E53">
            <v>15.34</v>
          </cell>
          <cell r="F53">
            <v>39202090</v>
          </cell>
          <cell r="G53">
            <v>18</v>
          </cell>
          <cell r="H53">
            <v>0</v>
          </cell>
        </row>
        <row r="54">
          <cell r="C54" t="str">
            <v xml:space="preserve">POLYESTER NIWAR 25 MM </v>
          </cell>
          <cell r="D54" t="str">
            <v xml:space="preserve">POLYESTER NIWAR 25 MM </v>
          </cell>
          <cell r="E54">
            <v>240</v>
          </cell>
          <cell r="F54">
            <v>58063200</v>
          </cell>
          <cell r="G54">
            <v>5</v>
          </cell>
          <cell r="H54">
            <v>0</v>
          </cell>
        </row>
        <row r="55">
          <cell r="C55" t="str">
            <v>PP NIWAR</v>
          </cell>
          <cell r="D55" t="str">
            <v>PP NIWAR</v>
          </cell>
          <cell r="E55">
            <v>180</v>
          </cell>
          <cell r="F55">
            <v>58063200</v>
          </cell>
          <cell r="G55">
            <v>5</v>
          </cell>
          <cell r="H55">
            <v>0</v>
          </cell>
        </row>
        <row r="56">
          <cell r="C56" t="str">
            <v>2ply-3000mtr-Black/Z/Y8961/N150</v>
          </cell>
          <cell r="D56" t="str">
            <v>9 Line Pad</v>
          </cell>
          <cell r="E56">
            <v>175</v>
          </cell>
          <cell r="F56">
            <v>55081000</v>
          </cell>
          <cell r="G56">
            <v>5</v>
          </cell>
          <cell r="H56">
            <v>0</v>
          </cell>
        </row>
        <row r="57">
          <cell r="C57" t="str">
            <v>3ply-1000mtr-Black/Z/Y8360/N125</v>
          </cell>
          <cell r="D57" t="str">
            <v>ADJUSTER BUCKLE _20mm</v>
          </cell>
          <cell r="E57">
            <v>90</v>
          </cell>
          <cell r="F57">
            <v>55081000</v>
          </cell>
          <cell r="G57">
            <v>5</v>
          </cell>
          <cell r="H57">
            <v>0</v>
          </cell>
        </row>
        <row r="58">
          <cell r="C58" t="str">
            <v>9 Line Pad</v>
          </cell>
          <cell r="D58" t="str">
            <v>Bottom Stud-Oval FCL_58mm</v>
          </cell>
          <cell r="E58">
            <v>4</v>
          </cell>
          <cell r="F58">
            <v>39269049</v>
          </cell>
          <cell r="G58">
            <v>18</v>
          </cell>
          <cell r="H58">
            <v>240</v>
          </cell>
        </row>
        <row r="59">
          <cell r="C59" t="str">
            <v>ADJUSTER BUCKLE _20mm</v>
          </cell>
          <cell r="D59" t="str">
            <v>Cord Lock-Oval</v>
          </cell>
          <cell r="E59">
            <v>1</v>
          </cell>
          <cell r="F59">
            <v>39269049</v>
          </cell>
          <cell r="G59">
            <v>18</v>
          </cell>
          <cell r="H59">
            <v>194</v>
          </cell>
        </row>
        <row r="60">
          <cell r="C60" t="str">
            <v>ALUMINIUM EXTRUDED PROFILE</v>
          </cell>
          <cell r="D60" t="str">
            <v>Cord Lock-Sleek</v>
          </cell>
          <cell r="E60">
            <v>650</v>
          </cell>
          <cell r="F60">
            <v>76042100</v>
          </cell>
          <cell r="G60">
            <v>18</v>
          </cell>
          <cell r="H60">
            <v>8</v>
          </cell>
        </row>
        <row r="61">
          <cell r="C61" t="str">
            <v>Aluminium Pipe Trolley Orgin</v>
          </cell>
          <cell r="D61" t="str">
            <v>Cord Lock-Ultra</v>
          </cell>
          <cell r="E61">
            <v>245</v>
          </cell>
          <cell r="F61">
            <v>7608</v>
          </cell>
          <cell r="G61">
            <v>18</v>
          </cell>
          <cell r="H61">
            <v>10</v>
          </cell>
        </row>
        <row r="62">
          <cell r="C62" t="str">
            <v>Bottom Stud-75mm</v>
          </cell>
          <cell r="D62" t="str">
            <v>D Ring "Polo"</v>
          </cell>
          <cell r="E62">
            <v>3</v>
          </cell>
          <cell r="F62">
            <v>39269049</v>
          </cell>
          <cell r="G62">
            <v>18</v>
          </cell>
          <cell r="H62">
            <v>118</v>
          </cell>
        </row>
        <row r="63">
          <cell r="C63" t="str">
            <v>Bottom Stud-Oval FCL_58mm</v>
          </cell>
          <cell r="D63" t="str">
            <v>D_Ring_20mm Black_with Powder Coating_4mm</v>
          </cell>
          <cell r="E63">
            <v>2</v>
          </cell>
          <cell r="F63">
            <v>39269049</v>
          </cell>
          <cell r="G63">
            <v>18</v>
          </cell>
          <cell r="H63">
            <v>-18</v>
          </cell>
        </row>
        <row r="64">
          <cell r="C64" t="str">
            <v>Bottom Stud Small_Black</v>
          </cell>
          <cell r="D64" t="str">
            <v>Hook-Type 1_FF006</v>
          </cell>
          <cell r="E64">
            <v>1.6</v>
          </cell>
          <cell r="F64">
            <v>3926</v>
          </cell>
          <cell r="G64">
            <v>18</v>
          </cell>
          <cell r="H64">
            <v>1000</v>
          </cell>
        </row>
        <row r="65">
          <cell r="C65" t="str">
            <v>COTTON NIWAR- 48 mm beige</v>
          </cell>
          <cell r="D65" t="str">
            <v>LOOP BUCKLE ADJUSTER_25mm</v>
          </cell>
          <cell r="E65">
            <v>3</v>
          </cell>
          <cell r="F65">
            <v>58063200</v>
          </cell>
          <cell r="G65">
            <v>5</v>
          </cell>
          <cell r="H65">
            <v>2</v>
          </cell>
        </row>
        <row r="66">
          <cell r="C66" t="str">
            <v>D Ring "Polo"</v>
          </cell>
          <cell r="D66" t="str">
            <v xml:space="preserve">niwar - plain piping 4 gram 240 mtr average </v>
          </cell>
          <cell r="E66">
            <v>1.5</v>
          </cell>
          <cell r="F66">
            <v>39269049</v>
          </cell>
          <cell r="G66">
            <v>18</v>
          </cell>
          <cell r="H66">
            <v>76</v>
          </cell>
        </row>
        <row r="67">
          <cell r="C67" t="str">
            <v>D_Ring_20mm Black_with Powder Coating_4mm</v>
          </cell>
          <cell r="D67" t="str">
            <v>Rectangle Buckle - Black _25mm</v>
          </cell>
          <cell r="E67">
            <v>1</v>
          </cell>
          <cell r="F67">
            <v>39269049</v>
          </cell>
          <cell r="G67">
            <v>18</v>
          </cell>
          <cell r="H67">
            <v>85</v>
          </cell>
        </row>
        <row r="68">
          <cell r="C68" t="str">
            <v>D_Ring_25mm Black_with Powder Coating_4mm-5%</v>
          </cell>
          <cell r="D68" t="str">
            <v>Rectangle Buckle - Black _50mm</v>
          </cell>
          <cell r="E68">
            <v>1.32</v>
          </cell>
          <cell r="F68">
            <v>96072000</v>
          </cell>
          <cell r="G68">
            <v>5</v>
          </cell>
          <cell r="H68">
            <v>36695</v>
          </cell>
        </row>
        <row r="69">
          <cell r="C69" t="str">
            <v>EPE Rolls 1400 mm-10_mm-Black</v>
          </cell>
          <cell r="D69" t="str">
            <v>Rectangle Buckle - FF_30mm</v>
          </cell>
          <cell r="E69">
            <v>1949.2</v>
          </cell>
          <cell r="F69">
            <v>39201019</v>
          </cell>
          <cell r="G69">
            <v>18</v>
          </cell>
          <cell r="H69">
            <v>23</v>
          </cell>
        </row>
        <row r="70">
          <cell r="C70" t="str">
            <v>EPE Rolls 1400 mm-5 mm D/L-NAT</v>
          </cell>
          <cell r="D70" t="str">
            <v>Red Coated Fabrics With Uly_58" Inch coating WR -5%</v>
          </cell>
          <cell r="E70">
            <v>2419.1999999999998</v>
          </cell>
          <cell r="F70">
            <v>39201019</v>
          </cell>
          <cell r="G70">
            <v>18</v>
          </cell>
          <cell r="H70">
            <v>39</v>
          </cell>
        </row>
        <row r="71">
          <cell r="C71" t="str">
            <v>EPE Rolls 1400 mm-8 mm-Black</v>
          </cell>
          <cell r="D71" t="str">
            <v>SHOLDAR PAD FF-032_38mm</v>
          </cell>
          <cell r="E71">
            <v>2729</v>
          </cell>
          <cell r="F71">
            <v>39201019</v>
          </cell>
          <cell r="G71">
            <v>18</v>
          </cell>
          <cell r="H71">
            <v>51</v>
          </cell>
        </row>
        <row r="72">
          <cell r="C72" t="str">
            <v>EPE Rolls 1500 mm-3_mm-Black</v>
          </cell>
          <cell r="D72" t="str">
            <v>SHOLDAR PAD_2inch</v>
          </cell>
          <cell r="E72">
            <v>1630.8</v>
          </cell>
          <cell r="F72">
            <v>39201019</v>
          </cell>
          <cell r="G72">
            <v>18</v>
          </cell>
          <cell r="H72">
            <v>38.5</v>
          </cell>
        </row>
        <row r="73">
          <cell r="C73" t="str">
            <v>EP X P BRADING</v>
          </cell>
          <cell r="D73" t="str">
            <v>Square Buckle - Black - 20mm</v>
          </cell>
          <cell r="E73">
            <v>167</v>
          </cell>
          <cell r="F73">
            <v>3921</v>
          </cell>
          <cell r="G73">
            <v>18</v>
          </cell>
          <cell r="H73">
            <v>376.3</v>
          </cell>
        </row>
        <row r="74">
          <cell r="C74" t="str">
            <v>EVA- Foam</v>
          </cell>
          <cell r="D74" t="str">
            <v>Square Buckle - Black - 32mm</v>
          </cell>
          <cell r="E74">
            <v>62.11</v>
          </cell>
          <cell r="F74">
            <v>39211900</v>
          </cell>
          <cell r="G74">
            <v>18</v>
          </cell>
          <cell r="H74">
            <v>420</v>
          </cell>
        </row>
        <row r="75">
          <cell r="C75" t="str">
            <v>Expandeble Trolley</v>
          </cell>
          <cell r="D75" t="str">
            <v>Square Buckle - FF_Black- 20mm</v>
          </cell>
          <cell r="E75">
            <v>180</v>
          </cell>
          <cell r="F75">
            <v>42021250</v>
          </cell>
          <cell r="G75">
            <v>18</v>
          </cell>
          <cell r="H75">
            <v>10</v>
          </cell>
        </row>
        <row r="76">
          <cell r="C76" t="str">
            <v>Hand Puller</v>
          </cell>
          <cell r="D76" t="str">
            <v>SR Clamp-Black -38mm - Indus</v>
          </cell>
          <cell r="E76">
            <v>5.4</v>
          </cell>
          <cell r="F76">
            <v>3926</v>
          </cell>
          <cell r="G76">
            <v>18</v>
          </cell>
          <cell r="H76">
            <v>115</v>
          </cell>
        </row>
        <row r="77">
          <cell r="C77" t="str">
            <v>Hook-Type 1_FF006</v>
          </cell>
          <cell r="D77" t="str">
            <v>SR Clamp_20mm</v>
          </cell>
          <cell r="E77">
            <v>3</v>
          </cell>
          <cell r="F77">
            <v>39269049</v>
          </cell>
          <cell r="G77">
            <v>18</v>
          </cell>
          <cell r="H77">
            <v>163</v>
          </cell>
        </row>
        <row r="78">
          <cell r="C78" t="str">
            <v>Knitted Elastic -10 mm White</v>
          </cell>
          <cell r="D78" t="str">
            <v>SR Clamp_25mm</v>
          </cell>
          <cell r="E78">
            <v>2</v>
          </cell>
          <cell r="F78">
            <v>60029000</v>
          </cell>
          <cell r="G78">
            <v>5</v>
          </cell>
          <cell r="H78">
            <v>45</v>
          </cell>
        </row>
        <row r="79">
          <cell r="C79" t="str">
            <v>Knitted Elastic -15 mm Black</v>
          </cell>
          <cell r="D79" t="str">
            <v>USB CHARGING  IFC</v>
          </cell>
          <cell r="E79">
            <v>2</v>
          </cell>
          <cell r="F79">
            <v>60029000</v>
          </cell>
          <cell r="G79">
            <v>5</v>
          </cell>
          <cell r="H79">
            <v>30</v>
          </cell>
        </row>
        <row r="80">
          <cell r="C80" t="str">
            <v>Knitted Elastic -15 mm Grey</v>
          </cell>
          <cell r="D80" t="str">
            <v>USB Cord with Cover</v>
          </cell>
          <cell r="E80">
            <v>2</v>
          </cell>
          <cell r="F80">
            <v>60029000</v>
          </cell>
          <cell r="G80">
            <v>5</v>
          </cell>
          <cell r="H80">
            <v>10</v>
          </cell>
        </row>
        <row r="81">
          <cell r="C81" t="str">
            <v>Knitted Elastic -20 mm Black</v>
          </cell>
          <cell r="D81" t="str">
            <v>Velcro _Hook-10mm-White_Max</v>
          </cell>
          <cell r="E81">
            <v>2</v>
          </cell>
          <cell r="F81">
            <v>60029000</v>
          </cell>
          <cell r="G81">
            <v>5</v>
          </cell>
          <cell r="H81">
            <v>10</v>
          </cell>
        </row>
        <row r="82">
          <cell r="C82" t="str">
            <v>Knitted Elastic -25 mm Black</v>
          </cell>
          <cell r="D82" t="str">
            <v>Velcro _Hook-15mm-White_With adhesive</v>
          </cell>
          <cell r="E82">
            <v>2.25</v>
          </cell>
          <cell r="F82">
            <v>60029000</v>
          </cell>
          <cell r="G82">
            <v>5</v>
          </cell>
          <cell r="H82">
            <v>24450</v>
          </cell>
        </row>
        <row r="83">
          <cell r="C83" t="str">
            <v>Knitted Elastic -38 mm Red</v>
          </cell>
          <cell r="D83" t="str">
            <v>Velcro _Loop-10mm-White_Max</v>
          </cell>
          <cell r="E83">
            <v>50</v>
          </cell>
          <cell r="F83">
            <v>60029000</v>
          </cell>
          <cell r="G83">
            <v>5</v>
          </cell>
          <cell r="H83">
            <v>30</v>
          </cell>
        </row>
        <row r="84">
          <cell r="C84" t="str">
            <v>Ladder Lock - Black -38mm - Leo</v>
          </cell>
          <cell r="D84" t="str">
            <v>Washer</v>
          </cell>
          <cell r="E84">
            <v>2.5</v>
          </cell>
          <cell r="F84">
            <v>39269049</v>
          </cell>
          <cell r="G84">
            <v>18</v>
          </cell>
          <cell r="H84">
            <v>1300</v>
          </cell>
        </row>
        <row r="85">
          <cell r="C85" t="str">
            <v>LADDER LOCK FF</v>
          </cell>
          <cell r="D85" t="str">
            <v xml:space="preserve">5 NO. CFC GREEN 2.400 KG - 180 MTR </v>
          </cell>
          <cell r="E85">
            <v>1</v>
          </cell>
          <cell r="F85">
            <v>39269049</v>
          </cell>
          <cell r="G85">
            <v>18</v>
          </cell>
          <cell r="H85">
            <v>616</v>
          </cell>
        </row>
        <row r="86">
          <cell r="C86" t="str">
            <v>LADDER LOCK SF</v>
          </cell>
          <cell r="D86" t="str">
            <v xml:space="preserve">5 NO. CFC YELLOW 2.400 KG - 180 MTR </v>
          </cell>
          <cell r="E86">
            <v>1</v>
          </cell>
          <cell r="F86">
            <v>39269049</v>
          </cell>
          <cell r="G86">
            <v>18</v>
          </cell>
          <cell r="H86">
            <v>35</v>
          </cell>
        </row>
        <row r="87">
          <cell r="C87" t="str">
            <v>Ladder Lock Virgo-20mm-Black</v>
          </cell>
          <cell r="D87" t="str">
            <v xml:space="preserve">5 NO. CFC ORANGE 2.400 KG - 180 MTR </v>
          </cell>
          <cell r="E87">
            <v>1</v>
          </cell>
          <cell r="F87">
            <v>39269049</v>
          </cell>
          <cell r="G87">
            <v>18</v>
          </cell>
          <cell r="H87">
            <v>-1894</v>
          </cell>
        </row>
        <row r="88">
          <cell r="C88" t="str">
            <v>Ladder Lock Virgo-25mm-Black</v>
          </cell>
          <cell r="D88" t="str">
            <v xml:space="preserve">5 NO. CFC WHITE 2.400 KG - 180 MTR </v>
          </cell>
          <cell r="E88">
            <v>1.36</v>
          </cell>
          <cell r="F88">
            <v>39269049</v>
          </cell>
          <cell r="G88">
            <v>18</v>
          </cell>
          <cell r="H88">
            <v>32700</v>
          </cell>
        </row>
        <row r="89">
          <cell r="C89" t="str">
            <v>LD_POLY_20 X 24 Inch_160 Gauge</v>
          </cell>
          <cell r="D89" t="str">
            <v xml:space="preserve">5 NO. CFC BLACK 2.400 KG - 180 MTR </v>
          </cell>
          <cell r="E89">
            <v>200</v>
          </cell>
          <cell r="F89">
            <v>39172110</v>
          </cell>
          <cell r="G89">
            <v>18</v>
          </cell>
          <cell r="H89">
            <v>175.53299999999999</v>
          </cell>
        </row>
        <row r="90">
          <cell r="C90" t="str">
            <v>LOOP BUCKLE ADJUSTER_25mm</v>
          </cell>
          <cell r="D90" t="str">
            <v xml:space="preserve">DORI 5 PLY </v>
          </cell>
          <cell r="E90">
            <v>1</v>
          </cell>
          <cell r="F90">
            <v>39269049</v>
          </cell>
          <cell r="G90">
            <v>18</v>
          </cell>
          <cell r="H90">
            <v>100</v>
          </cell>
        </row>
        <row r="91">
          <cell r="C91" t="str">
            <v>LOOP BUCKLE ADJUSTER_30mm</v>
          </cell>
          <cell r="D91" t="str">
            <v>Knitted Elastic -30 mm Black</v>
          </cell>
          <cell r="E91">
            <v>1</v>
          </cell>
          <cell r="F91">
            <v>39269049</v>
          </cell>
          <cell r="G91">
            <v>18</v>
          </cell>
          <cell r="H91">
            <v>260</v>
          </cell>
        </row>
        <row r="92">
          <cell r="C92" t="str">
            <v xml:space="preserve">Niwar_25mm Black_6gm/mtr </v>
          </cell>
          <cell r="D92" t="str">
            <v>2. PP CORRUGATED SHEET-464*368- 700 GSM- BLACK- . (BLK)</v>
          </cell>
          <cell r="E92">
            <v>240</v>
          </cell>
          <cell r="F92">
            <v>58063200</v>
          </cell>
          <cell r="G92">
            <v>5</v>
          </cell>
          <cell r="H92">
            <v>1.8439999999999372</v>
          </cell>
        </row>
        <row r="93">
          <cell r="C93" t="str">
            <v>Niwar_38mm Black_6gm/mtr</v>
          </cell>
          <cell r="D93" t="str">
            <v>3. PP CORRUGATED SHEET-465*140- 700 GSM- BLACK-  Pcs. (BLK)</v>
          </cell>
          <cell r="E93">
            <v>280</v>
          </cell>
          <cell r="F93">
            <v>58063200</v>
          </cell>
          <cell r="G93">
            <v>5</v>
          </cell>
          <cell r="H93">
            <v>158.52000000000001</v>
          </cell>
        </row>
        <row r="94">
          <cell r="C94" t="str">
            <v xml:space="preserve">Niwar_38mm Black_9gm/mtr </v>
          </cell>
          <cell r="E94">
            <v>90</v>
          </cell>
          <cell r="F94">
            <v>58063200</v>
          </cell>
          <cell r="G94">
            <v>5</v>
          </cell>
          <cell r="H94">
            <v>213.39800000000002</v>
          </cell>
        </row>
        <row r="95">
          <cell r="C95" t="str">
            <v>No.8 CFC Non Lock D Puller</v>
          </cell>
          <cell r="E95">
            <v>2.82</v>
          </cell>
          <cell r="F95">
            <v>96072000</v>
          </cell>
          <cell r="G95">
            <v>5</v>
          </cell>
          <cell r="H95">
            <v>15805</v>
          </cell>
        </row>
        <row r="96">
          <cell r="C96" t="str">
            <v>POLO HANDLES BLACK</v>
          </cell>
          <cell r="E96">
            <v>4.5</v>
          </cell>
          <cell r="F96">
            <v>392690</v>
          </cell>
          <cell r="G96">
            <v>18</v>
          </cell>
          <cell r="H96">
            <v>5300</v>
          </cell>
        </row>
        <row r="97">
          <cell r="C97" t="str">
            <v>POLYCARBONATE SHEET(MULTI WALL)</v>
          </cell>
          <cell r="E97">
            <v>41</v>
          </cell>
          <cell r="F97">
            <v>39206190</v>
          </cell>
          <cell r="G97">
            <v>18</v>
          </cell>
          <cell r="H97">
            <v>401.45</v>
          </cell>
        </row>
        <row r="98">
          <cell r="C98" t="str">
            <v xml:space="preserve">niwar - plain piping 4 gram 240 mtr average </v>
          </cell>
          <cell r="E98">
            <v>245</v>
          </cell>
          <cell r="F98">
            <v>58063200</v>
          </cell>
          <cell r="G98">
            <v>5</v>
          </cell>
          <cell r="H98">
            <v>-290.89999999999964</v>
          </cell>
        </row>
        <row r="99">
          <cell r="C99" t="str">
            <v>PP NIWAR_10mm_Black</v>
          </cell>
          <cell r="E99">
            <v>285</v>
          </cell>
          <cell r="F99">
            <v>55063200</v>
          </cell>
          <cell r="G99">
            <v>5</v>
          </cell>
          <cell r="H99">
            <v>-2.0000000000006679E-3</v>
          </cell>
        </row>
        <row r="100">
          <cell r="C100" t="str">
            <v>PP Niwar_38mm_JLD_40mtr/kg</v>
          </cell>
          <cell r="E100">
            <v>200</v>
          </cell>
          <cell r="F100">
            <v>58063200</v>
          </cell>
          <cell r="G100">
            <v>5</v>
          </cell>
          <cell r="H100">
            <v>36.795999999999992</v>
          </cell>
        </row>
        <row r="101">
          <cell r="C101" t="str">
            <v>PRINTED POLYTHENE BAGS_12X16X240G MILKY</v>
          </cell>
          <cell r="E101">
            <v>3.9</v>
          </cell>
          <cell r="F101">
            <v>39232100</v>
          </cell>
          <cell r="G101">
            <v>18</v>
          </cell>
          <cell r="H101">
            <v>22000</v>
          </cell>
        </row>
        <row r="102">
          <cell r="C102" t="str">
            <v>Rectangle Buckle - Black - 38mm - Classic</v>
          </cell>
          <cell r="E102">
            <v>1.1499999999999999</v>
          </cell>
          <cell r="F102">
            <v>39269049</v>
          </cell>
          <cell r="G102">
            <v>18</v>
          </cell>
          <cell r="H102">
            <v>3031</v>
          </cell>
        </row>
        <row r="103">
          <cell r="C103" t="str">
            <v>Rectangle Buckle - Black _25mm</v>
          </cell>
          <cell r="E103">
            <v>1</v>
          </cell>
          <cell r="F103">
            <v>39269049</v>
          </cell>
          <cell r="G103">
            <v>18</v>
          </cell>
          <cell r="H103">
            <v>230</v>
          </cell>
        </row>
        <row r="104">
          <cell r="C104" t="str">
            <v>Rectangle Buckle - Black _50mm</v>
          </cell>
          <cell r="E104">
            <v>1</v>
          </cell>
          <cell r="F104">
            <v>39269049</v>
          </cell>
          <cell r="G104">
            <v>18</v>
          </cell>
          <cell r="H104">
            <v>617</v>
          </cell>
        </row>
        <row r="105">
          <cell r="C105" t="str">
            <v>Rectangle Buckle - FF_30mm</v>
          </cell>
          <cell r="F105">
            <v>39269049</v>
          </cell>
          <cell r="G105">
            <v>18</v>
          </cell>
          <cell r="H105">
            <v>75</v>
          </cell>
        </row>
        <row r="106">
          <cell r="C106" t="str">
            <v xml:space="preserve">Reflective Tape-200 mtr </v>
          </cell>
          <cell r="E106">
            <v>600</v>
          </cell>
          <cell r="F106">
            <v>58063200</v>
          </cell>
          <cell r="G106">
            <v>5</v>
          </cell>
          <cell r="H106">
            <v>733</v>
          </cell>
        </row>
        <row r="107">
          <cell r="C107" t="str">
            <v>Reflective Tape_25mm x 90mtr_Grey-5%</v>
          </cell>
          <cell r="E107">
            <v>252</v>
          </cell>
          <cell r="F107">
            <v>58063200</v>
          </cell>
          <cell r="G107">
            <v>5</v>
          </cell>
          <cell r="H107">
            <v>80.199999999999989</v>
          </cell>
        </row>
        <row r="108">
          <cell r="C108" t="str">
            <v>RIVET</v>
          </cell>
          <cell r="E108">
            <v>0.65</v>
          </cell>
          <cell r="F108">
            <v>7318</v>
          </cell>
          <cell r="G108">
            <v>18</v>
          </cell>
          <cell r="H108">
            <v>-3851</v>
          </cell>
        </row>
        <row r="109">
          <cell r="C109" t="str">
            <v>Round Bottom Stud Lug Soft-STD-Black</v>
          </cell>
          <cell r="E109">
            <v>1.8</v>
          </cell>
          <cell r="F109">
            <v>39269049</v>
          </cell>
          <cell r="G109">
            <v>18</v>
          </cell>
          <cell r="H109">
            <v>11445</v>
          </cell>
        </row>
        <row r="110">
          <cell r="C110" t="str">
            <v>RUBBER GROMMET PANEL</v>
          </cell>
          <cell r="E110">
            <v>1.5</v>
          </cell>
          <cell r="F110">
            <v>39269049</v>
          </cell>
          <cell r="G110">
            <v>18</v>
          </cell>
          <cell r="H110">
            <v>360</v>
          </cell>
        </row>
        <row r="111">
          <cell r="C111" t="str">
            <v>SCREW-19MM</v>
          </cell>
          <cell r="E111">
            <v>0.5</v>
          </cell>
          <cell r="F111">
            <v>7318</v>
          </cell>
          <cell r="G111">
            <v>18</v>
          </cell>
          <cell r="H111">
            <v>800</v>
          </cell>
        </row>
        <row r="112">
          <cell r="C112" t="str">
            <v>SHOLDAR PAD FF-032_38mm</v>
          </cell>
          <cell r="E112">
            <v>4</v>
          </cell>
          <cell r="F112">
            <v>39269049</v>
          </cell>
          <cell r="G112">
            <v>18</v>
          </cell>
          <cell r="H112">
            <v>340</v>
          </cell>
        </row>
        <row r="113">
          <cell r="C113" t="str">
            <v>SHOLDAR PAD_2inch</v>
          </cell>
          <cell r="E113">
            <v>1</v>
          </cell>
          <cell r="F113">
            <v>39269049</v>
          </cell>
          <cell r="G113">
            <v>18</v>
          </cell>
          <cell r="H113">
            <v>100</v>
          </cell>
        </row>
        <row r="114">
          <cell r="C114" t="str">
            <v>SHRINK WRAP ROLL</v>
          </cell>
          <cell r="E114">
            <v>135</v>
          </cell>
          <cell r="F114">
            <v>39202020</v>
          </cell>
          <cell r="G114">
            <v>18</v>
          </cell>
          <cell r="H114">
            <v>10</v>
          </cell>
        </row>
        <row r="115">
          <cell r="C115" t="str">
            <v>Side Button Trolley</v>
          </cell>
          <cell r="E115">
            <v>138</v>
          </cell>
          <cell r="F115">
            <v>4202</v>
          </cell>
          <cell r="G115">
            <v>18</v>
          </cell>
          <cell r="H115">
            <v>10</v>
          </cell>
        </row>
        <row r="116">
          <cell r="C116" t="str">
            <v>Slider#08_F87988SUN 580</v>
          </cell>
          <cell r="E116">
            <v>3.75</v>
          </cell>
          <cell r="F116">
            <v>96072000</v>
          </cell>
          <cell r="G116">
            <v>5</v>
          </cell>
          <cell r="H116">
            <v>750</v>
          </cell>
        </row>
        <row r="117">
          <cell r="C117" t="str">
            <v>Slider #10 No._CX7989SUN_580_Black-5%</v>
          </cell>
          <cell r="E117">
            <v>7.5</v>
          </cell>
          <cell r="F117">
            <v>96072000</v>
          </cell>
          <cell r="G117">
            <v>5</v>
          </cell>
          <cell r="H117">
            <v>2596</v>
          </cell>
        </row>
        <row r="118">
          <cell r="C118" t="str">
            <v>Slider #8 No._C87988SUN_580_Black- 5%</v>
          </cell>
          <cell r="E118">
            <v>3.3</v>
          </cell>
          <cell r="F118">
            <v>96072000</v>
          </cell>
          <cell r="G118">
            <v>5</v>
          </cell>
          <cell r="H118">
            <v>0</v>
          </cell>
        </row>
        <row r="119">
          <cell r="C119" t="str">
            <v>Slider_#8 No.C819RCECOLONG-60GM-PCT-01-5%</v>
          </cell>
          <cell r="E119">
            <v>3.5</v>
          </cell>
          <cell r="F119">
            <v>96072000</v>
          </cell>
          <cell r="G119">
            <v>5</v>
          </cell>
          <cell r="H119">
            <v>112460</v>
          </cell>
        </row>
        <row r="120">
          <cell r="C120" t="str">
            <v>Square Buckle - Black - 20mm</v>
          </cell>
          <cell r="E120">
            <v>1</v>
          </cell>
          <cell r="F120">
            <v>39269049</v>
          </cell>
          <cell r="G120">
            <v>18</v>
          </cell>
          <cell r="H120">
            <v>224</v>
          </cell>
        </row>
        <row r="121">
          <cell r="C121" t="str">
            <v>Square Buckle - Black - 25mm</v>
          </cell>
          <cell r="E121">
            <v>2</v>
          </cell>
          <cell r="F121">
            <v>39269049</v>
          </cell>
          <cell r="G121">
            <v>18</v>
          </cell>
          <cell r="H121">
            <v>-2050</v>
          </cell>
        </row>
        <row r="122">
          <cell r="C122" t="str">
            <v>Square Buckle - Black - 32mm</v>
          </cell>
          <cell r="E122">
            <v>2</v>
          </cell>
          <cell r="F122">
            <v>39269049</v>
          </cell>
          <cell r="G122">
            <v>18</v>
          </cell>
          <cell r="H122">
            <v>507</v>
          </cell>
        </row>
        <row r="123">
          <cell r="C123" t="str">
            <v>Square Buckle - Black - 38mm - Classic</v>
          </cell>
          <cell r="E123">
            <v>1.3</v>
          </cell>
          <cell r="F123">
            <v>39269049</v>
          </cell>
          <cell r="G123">
            <v>18</v>
          </cell>
          <cell r="H123">
            <v>701</v>
          </cell>
        </row>
        <row r="124">
          <cell r="C124" t="str">
            <v>Square Buckle - FF_Black- 20mm</v>
          </cell>
          <cell r="E124">
            <v>2</v>
          </cell>
          <cell r="F124">
            <v>39269049</v>
          </cell>
          <cell r="G124">
            <v>18</v>
          </cell>
          <cell r="H124">
            <v>60</v>
          </cell>
        </row>
        <row r="125">
          <cell r="C125" t="str">
            <v>SQUARE BUCKLE IFC_25mm</v>
          </cell>
          <cell r="E125">
            <v>1.5</v>
          </cell>
          <cell r="F125">
            <v>39269049</v>
          </cell>
          <cell r="G125">
            <v>18</v>
          </cell>
          <cell r="H125">
            <v>520</v>
          </cell>
        </row>
        <row r="126">
          <cell r="C126" t="str">
            <v>SR Clamp-Black -20mm - Draco</v>
          </cell>
          <cell r="E126">
            <v>3</v>
          </cell>
          <cell r="F126">
            <v>39269049</v>
          </cell>
          <cell r="G126">
            <v>18</v>
          </cell>
          <cell r="H126">
            <v>80</v>
          </cell>
        </row>
        <row r="127">
          <cell r="C127" t="str">
            <v>SR Clamp-Black -25mm - Draco</v>
          </cell>
          <cell r="E127">
            <v>4.4000000000000004</v>
          </cell>
          <cell r="F127">
            <v>39269049</v>
          </cell>
          <cell r="G127">
            <v>18</v>
          </cell>
          <cell r="H127">
            <v>14912</v>
          </cell>
        </row>
        <row r="128">
          <cell r="C128" t="str">
            <v>SR Clamp-Black -25mm - Indus</v>
          </cell>
          <cell r="E128">
            <v>3.45</v>
          </cell>
          <cell r="F128">
            <v>39269049</v>
          </cell>
          <cell r="G128">
            <v>18</v>
          </cell>
          <cell r="H128">
            <v>41000</v>
          </cell>
        </row>
        <row r="129">
          <cell r="C129" t="str">
            <v>SR Clamp-Black - 38mm - Draco</v>
          </cell>
          <cell r="E129">
            <v>6.9</v>
          </cell>
          <cell r="F129">
            <v>39269049</v>
          </cell>
          <cell r="G129">
            <v>18</v>
          </cell>
          <cell r="H129">
            <v>1228</v>
          </cell>
        </row>
        <row r="130">
          <cell r="C130" t="str">
            <v>SR Clamp-Black -38mm - Indus</v>
          </cell>
          <cell r="E130">
            <v>5</v>
          </cell>
          <cell r="F130">
            <v>39269049</v>
          </cell>
          <cell r="G130">
            <v>18</v>
          </cell>
          <cell r="H130">
            <v>8</v>
          </cell>
        </row>
        <row r="131">
          <cell r="C131" t="str">
            <v>SR Clamp-Ultra  FF_25mm</v>
          </cell>
          <cell r="E131">
            <v>3</v>
          </cell>
          <cell r="F131">
            <v>39269049</v>
          </cell>
          <cell r="G131">
            <v>18</v>
          </cell>
          <cell r="H131">
            <v>110</v>
          </cell>
        </row>
        <row r="132">
          <cell r="C132" t="str">
            <v>SR Clamp_20mm</v>
          </cell>
          <cell r="E132">
            <v>3</v>
          </cell>
          <cell r="F132">
            <v>39269049</v>
          </cell>
          <cell r="G132">
            <v>18</v>
          </cell>
          <cell r="H132">
            <v>37</v>
          </cell>
        </row>
        <row r="133">
          <cell r="C133" t="str">
            <v>SR Clamp_25mm</v>
          </cell>
          <cell r="E133">
            <v>3</v>
          </cell>
          <cell r="F133">
            <v>39269049</v>
          </cell>
          <cell r="G133">
            <v>18</v>
          </cell>
          <cell r="H133">
            <v>30</v>
          </cell>
        </row>
        <row r="134">
          <cell r="C134" t="str">
            <v>THREAD FOR SACK SEWING</v>
          </cell>
          <cell r="E134">
            <v>65</v>
          </cell>
          <cell r="F134">
            <v>54024800</v>
          </cell>
          <cell r="G134">
            <v>12</v>
          </cell>
          <cell r="H134">
            <v>-10</v>
          </cell>
        </row>
        <row r="135">
          <cell r="C135" t="str">
            <v>Thread_2Ply*100000mtr_Red/Z/TKT60</v>
          </cell>
          <cell r="E135">
            <v>50</v>
          </cell>
          <cell r="F135">
            <v>55081000</v>
          </cell>
          <cell r="G135">
            <v>5</v>
          </cell>
          <cell r="H135">
            <v>6</v>
          </cell>
        </row>
        <row r="136">
          <cell r="C136" t="str">
            <v>Thread_2Ply*10000mtr_White/Z/TKT60</v>
          </cell>
          <cell r="E136">
            <v>50</v>
          </cell>
          <cell r="F136">
            <v>55081000</v>
          </cell>
          <cell r="G136">
            <v>5</v>
          </cell>
          <cell r="H136">
            <v>4</v>
          </cell>
        </row>
        <row r="137">
          <cell r="C137" t="str">
            <v>Thread_2Ply*10000mtr_Yellow/Z/TKT60</v>
          </cell>
          <cell r="E137">
            <v>50</v>
          </cell>
          <cell r="F137">
            <v>55081000</v>
          </cell>
          <cell r="G137">
            <v>5</v>
          </cell>
          <cell r="H137">
            <v>5</v>
          </cell>
        </row>
        <row r="138">
          <cell r="C138" t="str">
            <v>Thread_2Ply*2000mtr_Black/Z/J150- 5%</v>
          </cell>
          <cell r="E138">
            <v>61.83</v>
          </cell>
          <cell r="F138">
            <v>55081000</v>
          </cell>
          <cell r="G138">
            <v>5</v>
          </cell>
          <cell r="H138">
            <v>1436</v>
          </cell>
        </row>
        <row r="139">
          <cell r="C139" t="str">
            <v>Thread_2Ply*2000mtr_Golden yellow/Z/J150</v>
          </cell>
          <cell r="E139">
            <v>61.83</v>
          </cell>
          <cell r="F139">
            <v>55081000</v>
          </cell>
          <cell r="G139">
            <v>5</v>
          </cell>
          <cell r="H139">
            <v>0</v>
          </cell>
        </row>
        <row r="140">
          <cell r="C140" t="str">
            <v>Thread_2Ply*2000mtr_Golden Yellow_N166/J150-5%</v>
          </cell>
          <cell r="E140">
            <v>61.83</v>
          </cell>
          <cell r="F140">
            <v>55081000</v>
          </cell>
          <cell r="G140">
            <v>5</v>
          </cell>
          <cell r="H140">
            <v>402</v>
          </cell>
        </row>
        <row r="141">
          <cell r="C141" t="str">
            <v>Thread_2Ply*2000mtr_Grey/N141/J150-5%</v>
          </cell>
          <cell r="E141">
            <v>61.83</v>
          </cell>
          <cell r="F141">
            <v>55081000</v>
          </cell>
          <cell r="G141">
            <v>5</v>
          </cell>
          <cell r="H141">
            <v>333</v>
          </cell>
        </row>
        <row r="142">
          <cell r="C142" t="str">
            <v>Thread_2Ply*2000mtr_Grey/Z/J150</v>
          </cell>
          <cell r="E142">
            <v>61.83</v>
          </cell>
          <cell r="F142">
            <v>55081000</v>
          </cell>
          <cell r="G142">
            <v>5</v>
          </cell>
          <cell r="H142">
            <v>-30</v>
          </cell>
        </row>
        <row r="143">
          <cell r="C143" t="str">
            <v>Thread_2Ply*2000mtr_Navyblue/N920/J150_5%</v>
          </cell>
          <cell r="E143">
            <v>61.83</v>
          </cell>
          <cell r="F143">
            <v>55081000</v>
          </cell>
          <cell r="G143">
            <v>5</v>
          </cell>
          <cell r="H143">
            <v>0</v>
          </cell>
        </row>
        <row r="144">
          <cell r="C144" t="str">
            <v>Thread_2Ply*2000mtr_Red/Z/J150</v>
          </cell>
          <cell r="E144">
            <v>61.83</v>
          </cell>
          <cell r="F144">
            <v>55081000</v>
          </cell>
          <cell r="G144">
            <v>5</v>
          </cell>
          <cell r="H144">
            <v>160</v>
          </cell>
        </row>
        <row r="145">
          <cell r="C145" t="str">
            <v>Thread_3Ply*1000mtr_Blue/Z/ULTRA DEE/TKT30</v>
          </cell>
          <cell r="E145">
            <v>50</v>
          </cell>
          <cell r="F145">
            <v>55081000</v>
          </cell>
          <cell r="G145">
            <v>5</v>
          </cell>
          <cell r="H145">
            <v>4</v>
          </cell>
        </row>
        <row r="146">
          <cell r="C146" t="str">
            <v>Thread_3Ply*1000mtr_M Green/Z/ULTRA DEE/TKT30</v>
          </cell>
          <cell r="E146">
            <v>50</v>
          </cell>
          <cell r="F146">
            <v>55081000</v>
          </cell>
          <cell r="G146">
            <v>5</v>
          </cell>
          <cell r="H146">
            <v>23</v>
          </cell>
        </row>
        <row r="147">
          <cell r="C147" t="str">
            <v>Thread_3Ply*1000mtr_Red/Z/ULTRA DEE/TKT30</v>
          </cell>
          <cell r="E147">
            <v>50</v>
          </cell>
          <cell r="F147">
            <v>55081000</v>
          </cell>
          <cell r="G147">
            <v>5</v>
          </cell>
          <cell r="H147">
            <v>11</v>
          </cell>
        </row>
        <row r="148">
          <cell r="C148" t="str">
            <v>Thread_3Ply*1500mtr_Black/Z/J125- 5%</v>
          </cell>
          <cell r="E148">
            <v>62.42</v>
          </cell>
          <cell r="F148">
            <v>55081000</v>
          </cell>
          <cell r="G148">
            <v>5</v>
          </cell>
          <cell r="H148">
            <v>922</v>
          </cell>
        </row>
        <row r="149">
          <cell r="C149" t="str">
            <v>Thread_3Ply*1500mtr_Golden yellow/Z/J125</v>
          </cell>
          <cell r="E149">
            <v>62.42</v>
          </cell>
          <cell r="F149">
            <v>55081000</v>
          </cell>
          <cell r="G149">
            <v>5</v>
          </cell>
          <cell r="H149">
            <v>0</v>
          </cell>
        </row>
        <row r="150">
          <cell r="C150" t="str">
            <v>Thread_3Ply*1500mtr_Golden Yellow_N166/J125-5%</v>
          </cell>
          <cell r="E150">
            <v>62.42</v>
          </cell>
          <cell r="F150">
            <v>55081000</v>
          </cell>
          <cell r="G150">
            <v>5</v>
          </cell>
          <cell r="H150">
            <v>244</v>
          </cell>
        </row>
        <row r="151">
          <cell r="C151" t="str">
            <v>Thread_3Ply*1500mtr_Red/N5710/J125-5%</v>
          </cell>
          <cell r="E151">
            <v>62.42</v>
          </cell>
          <cell r="F151">
            <v>55081000</v>
          </cell>
          <cell r="G151">
            <v>5</v>
          </cell>
          <cell r="H151">
            <v>0</v>
          </cell>
        </row>
        <row r="152">
          <cell r="C152" t="str">
            <v>Thread_3Ply*1500mtr_Red/Z/J125</v>
          </cell>
          <cell r="E152">
            <v>62.42</v>
          </cell>
          <cell r="F152">
            <v>55081000</v>
          </cell>
          <cell r="G152">
            <v>5</v>
          </cell>
          <cell r="H152">
            <v>120</v>
          </cell>
        </row>
        <row r="153">
          <cell r="C153" t="str">
            <v>Thread_3Ply*400mtr_Blue/Z/TKT120</v>
          </cell>
          <cell r="E153">
            <v>10</v>
          </cell>
          <cell r="F153">
            <v>55081000</v>
          </cell>
          <cell r="G153">
            <v>5</v>
          </cell>
          <cell r="H153">
            <v>0</v>
          </cell>
        </row>
        <row r="154">
          <cell r="C154" t="str">
            <v>Thread_3Ply*400mtr_Brown/Z/TKT120</v>
          </cell>
          <cell r="E154">
            <v>10</v>
          </cell>
          <cell r="F154">
            <v>55081000</v>
          </cell>
          <cell r="G154">
            <v>5</v>
          </cell>
          <cell r="H154">
            <v>0</v>
          </cell>
        </row>
        <row r="155">
          <cell r="C155" t="str">
            <v>Thread_3Ply*400mtr_C Green/Z/TKT120</v>
          </cell>
          <cell r="E155">
            <v>10</v>
          </cell>
          <cell r="F155">
            <v>55081000</v>
          </cell>
          <cell r="G155">
            <v>5</v>
          </cell>
          <cell r="H155">
            <v>0</v>
          </cell>
        </row>
        <row r="156">
          <cell r="C156" t="str">
            <v>Thread_3Ply*400mtr_Dark Green/Z/TKT120</v>
          </cell>
          <cell r="E156">
            <v>10</v>
          </cell>
          <cell r="F156">
            <v>55081000</v>
          </cell>
          <cell r="G156">
            <v>5</v>
          </cell>
          <cell r="H156">
            <v>0</v>
          </cell>
        </row>
        <row r="157">
          <cell r="C157" t="str">
            <v>Thread_3Ply*400mtr_Dark grey/Z/TKT120</v>
          </cell>
          <cell r="E157">
            <v>10</v>
          </cell>
          <cell r="F157">
            <v>55081000</v>
          </cell>
          <cell r="G157">
            <v>5</v>
          </cell>
          <cell r="H157">
            <v>0</v>
          </cell>
        </row>
        <row r="158">
          <cell r="C158" t="str">
            <v>Thread_3Ply*400mtr_Fluorescent yellow/Z/TKT120</v>
          </cell>
          <cell r="E158">
            <v>10</v>
          </cell>
          <cell r="F158">
            <v>55081000</v>
          </cell>
          <cell r="G158">
            <v>5</v>
          </cell>
          <cell r="H158">
            <v>0</v>
          </cell>
        </row>
        <row r="159">
          <cell r="C159" t="str">
            <v>Thread_3Ply*400mtr_Golden yellow/Z/TKT120</v>
          </cell>
          <cell r="E159">
            <v>10</v>
          </cell>
          <cell r="F159">
            <v>55081000</v>
          </cell>
          <cell r="G159">
            <v>5</v>
          </cell>
          <cell r="H159">
            <v>0</v>
          </cell>
        </row>
        <row r="160">
          <cell r="C160" t="str">
            <v>Thread_3Ply*400mtr_Golden/Z/TKT120</v>
          </cell>
          <cell r="E160">
            <v>10</v>
          </cell>
          <cell r="F160">
            <v>55081000</v>
          </cell>
          <cell r="G160">
            <v>5</v>
          </cell>
          <cell r="H160">
            <v>0</v>
          </cell>
        </row>
        <row r="161">
          <cell r="C161" t="str">
            <v>Thread_3Ply*400mtr_Light Brown/Z/TKT120</v>
          </cell>
          <cell r="E161">
            <v>10</v>
          </cell>
          <cell r="F161">
            <v>55081000</v>
          </cell>
          <cell r="G161">
            <v>5</v>
          </cell>
          <cell r="H161">
            <v>0</v>
          </cell>
        </row>
        <row r="162">
          <cell r="C162" t="str">
            <v>Thread_3Ply*400mtr_Maroon/Z/TKT120</v>
          </cell>
          <cell r="E162">
            <v>10</v>
          </cell>
          <cell r="F162">
            <v>55081000</v>
          </cell>
          <cell r="G162">
            <v>5</v>
          </cell>
          <cell r="H162">
            <v>0</v>
          </cell>
        </row>
        <row r="163">
          <cell r="C163" t="str">
            <v>Thread_3Ply*400mtr_Orange/Z/TKT120</v>
          </cell>
          <cell r="E163">
            <v>10</v>
          </cell>
          <cell r="F163">
            <v>55081000</v>
          </cell>
          <cell r="G163">
            <v>5</v>
          </cell>
          <cell r="H163">
            <v>0</v>
          </cell>
        </row>
        <row r="164">
          <cell r="C164" t="str">
            <v>Thread_3Ply*400mtr_Red/Z/TKT120</v>
          </cell>
          <cell r="E164">
            <v>10</v>
          </cell>
          <cell r="F164">
            <v>55081000</v>
          </cell>
          <cell r="G164">
            <v>5</v>
          </cell>
          <cell r="H164">
            <v>0</v>
          </cell>
        </row>
        <row r="165">
          <cell r="C165" t="str">
            <v>Thread_3Ply*5000mtr_Black_Y260</v>
          </cell>
          <cell r="E165">
            <v>80</v>
          </cell>
          <cell r="F165">
            <v>55081000</v>
          </cell>
          <cell r="G165">
            <v>5</v>
          </cell>
          <cell r="H165">
            <v>0</v>
          </cell>
        </row>
        <row r="166">
          <cell r="C166" t="str">
            <v>Triangle Buckle-N</v>
          </cell>
          <cell r="E166">
            <v>1.5</v>
          </cell>
          <cell r="F166">
            <v>39269049</v>
          </cell>
          <cell r="G166">
            <v>18</v>
          </cell>
          <cell r="H166">
            <v>933</v>
          </cell>
        </row>
        <row r="167">
          <cell r="C167" t="str">
            <v>USB CHARGING  IFC</v>
          </cell>
          <cell r="E167">
            <v>20</v>
          </cell>
          <cell r="F167">
            <v>39269049</v>
          </cell>
          <cell r="G167">
            <v>18</v>
          </cell>
          <cell r="H167">
            <v>35</v>
          </cell>
        </row>
        <row r="168">
          <cell r="C168" t="str">
            <v>Velcro -Micro Hook-10mm-1000 Mtr White-GBS</v>
          </cell>
          <cell r="E168">
            <v>1.79</v>
          </cell>
          <cell r="F168">
            <v>39269099</v>
          </cell>
          <cell r="G168">
            <v>18</v>
          </cell>
          <cell r="H168">
            <v>0</v>
          </cell>
        </row>
        <row r="169">
          <cell r="C169" t="str">
            <v>Velcro _2 Side-50mm-Black</v>
          </cell>
          <cell r="E169">
            <v>24</v>
          </cell>
          <cell r="F169">
            <v>39269099</v>
          </cell>
          <cell r="G169">
            <v>18</v>
          </cell>
          <cell r="H169">
            <v>25</v>
          </cell>
        </row>
        <row r="170">
          <cell r="C170" t="str">
            <v>Velcro _Hook-10mm-White_Max</v>
          </cell>
          <cell r="E170">
            <v>2</v>
          </cell>
          <cell r="F170">
            <v>39269099</v>
          </cell>
          <cell r="G170">
            <v>18</v>
          </cell>
          <cell r="H170">
            <v>25</v>
          </cell>
        </row>
        <row r="171">
          <cell r="C171" t="str">
            <v>Velcro _hook-110mm-Black</v>
          </cell>
          <cell r="E171">
            <v>12</v>
          </cell>
          <cell r="F171">
            <v>39269099</v>
          </cell>
          <cell r="G171">
            <v>18</v>
          </cell>
          <cell r="H171">
            <v>25</v>
          </cell>
        </row>
        <row r="172">
          <cell r="C172" t="str">
            <v>Velcro _Hook-15mm-White_With adhesive</v>
          </cell>
          <cell r="E172">
            <v>2</v>
          </cell>
          <cell r="F172">
            <v>39269099</v>
          </cell>
          <cell r="G172">
            <v>18</v>
          </cell>
          <cell r="H172">
            <v>25</v>
          </cell>
        </row>
        <row r="173">
          <cell r="C173" t="str">
            <v>Velcro _Hook-20mm-White_Classic</v>
          </cell>
          <cell r="E173">
            <v>2.2999999999999998</v>
          </cell>
          <cell r="F173">
            <v>39269099</v>
          </cell>
          <cell r="G173">
            <v>18</v>
          </cell>
          <cell r="H173">
            <v>25</v>
          </cell>
        </row>
        <row r="174">
          <cell r="C174" t="str">
            <v>Velcro _hook-20mm-White_Maestro</v>
          </cell>
          <cell r="E174">
            <v>2.2999999999999998</v>
          </cell>
          <cell r="F174">
            <v>39269099</v>
          </cell>
          <cell r="G174">
            <v>18</v>
          </cell>
          <cell r="H174">
            <v>25</v>
          </cell>
        </row>
        <row r="175">
          <cell r="C175" t="str">
            <v>Velcro _Hook-25mm-Black_Diamond</v>
          </cell>
          <cell r="E175">
            <v>2.6</v>
          </cell>
          <cell r="F175">
            <v>39269099</v>
          </cell>
          <cell r="G175">
            <v>18</v>
          </cell>
          <cell r="H175">
            <v>53200</v>
          </cell>
        </row>
        <row r="176">
          <cell r="C176" t="str">
            <v>Velcro _Hook-25mm-Red_Welar</v>
          </cell>
          <cell r="E176">
            <v>2.2999999999999998</v>
          </cell>
          <cell r="F176">
            <v>39269099</v>
          </cell>
          <cell r="G176">
            <v>18</v>
          </cell>
          <cell r="H176">
            <v>100</v>
          </cell>
        </row>
        <row r="177">
          <cell r="C177" t="str">
            <v>Velcro _Hook-25mm-White_Max</v>
          </cell>
          <cell r="E177">
            <v>2.2999999999999998</v>
          </cell>
          <cell r="F177">
            <v>39269099</v>
          </cell>
          <cell r="G177">
            <v>18</v>
          </cell>
          <cell r="H177">
            <v>100</v>
          </cell>
        </row>
        <row r="178">
          <cell r="C178" t="str">
            <v>Velcro _Hook-38mm-Black_Diamond</v>
          </cell>
          <cell r="E178">
            <v>4.25</v>
          </cell>
          <cell r="F178">
            <v>39269099</v>
          </cell>
          <cell r="G178">
            <v>18</v>
          </cell>
          <cell r="H178">
            <v>0</v>
          </cell>
        </row>
        <row r="179">
          <cell r="C179" t="str">
            <v>Velcro _Hook-38mm-Black_K fast</v>
          </cell>
          <cell r="E179">
            <v>3.8</v>
          </cell>
          <cell r="F179">
            <v>39269099</v>
          </cell>
          <cell r="G179">
            <v>18</v>
          </cell>
          <cell r="H179">
            <v>400</v>
          </cell>
        </row>
        <row r="180">
          <cell r="C180" t="str">
            <v>Velcro _Hook-50mm-Black_Max</v>
          </cell>
          <cell r="E180">
            <v>6</v>
          </cell>
          <cell r="F180">
            <v>39269099</v>
          </cell>
          <cell r="G180">
            <v>18</v>
          </cell>
          <cell r="H180">
            <v>150</v>
          </cell>
        </row>
        <row r="181">
          <cell r="C181" t="str">
            <v>Velcro _Loop-10mm-White_Max</v>
          </cell>
          <cell r="E181">
            <v>2</v>
          </cell>
          <cell r="F181">
            <v>39269099</v>
          </cell>
          <cell r="G181">
            <v>18</v>
          </cell>
          <cell r="H181">
            <v>50</v>
          </cell>
        </row>
        <row r="182">
          <cell r="C182" t="str">
            <v>Velcro _Loop-20mm-White_Classic</v>
          </cell>
          <cell r="E182">
            <v>2.2999999999999998</v>
          </cell>
          <cell r="F182">
            <v>39269099</v>
          </cell>
          <cell r="G182">
            <v>18</v>
          </cell>
          <cell r="H182">
            <v>25</v>
          </cell>
        </row>
        <row r="183">
          <cell r="C183" t="str">
            <v>Velcro _Loop-20mm-White_Maestro</v>
          </cell>
          <cell r="E183">
            <v>2.2999999999999998</v>
          </cell>
          <cell r="F183">
            <v>39269099</v>
          </cell>
          <cell r="G183">
            <v>18</v>
          </cell>
          <cell r="H183">
            <v>25</v>
          </cell>
        </row>
        <row r="184">
          <cell r="C184" t="str">
            <v>Velcro _Loop-20mm-White_Ultra</v>
          </cell>
          <cell r="E184">
            <v>2.2999999999999998</v>
          </cell>
          <cell r="F184">
            <v>39269099</v>
          </cell>
          <cell r="G184">
            <v>18</v>
          </cell>
          <cell r="H184">
            <v>25</v>
          </cell>
        </row>
        <row r="185">
          <cell r="C185" t="str">
            <v>Velcro _Loop-25mm-Black_Diamond</v>
          </cell>
          <cell r="E185">
            <v>4.25</v>
          </cell>
          <cell r="F185">
            <v>39269099</v>
          </cell>
          <cell r="G185">
            <v>18</v>
          </cell>
          <cell r="H185">
            <v>19000</v>
          </cell>
        </row>
        <row r="186">
          <cell r="C186" t="str">
            <v>Velcro _Loop-25mm-Red_Welar</v>
          </cell>
          <cell r="E186">
            <v>2.2999999999999998</v>
          </cell>
          <cell r="F186">
            <v>39269099</v>
          </cell>
          <cell r="G186">
            <v>18</v>
          </cell>
          <cell r="H186">
            <v>100</v>
          </cell>
        </row>
        <row r="187">
          <cell r="C187" t="str">
            <v>Velcro _Loop-25mm-White_Max</v>
          </cell>
          <cell r="E187">
            <v>2.2999999999999998</v>
          </cell>
          <cell r="F187">
            <v>39269099</v>
          </cell>
          <cell r="G187">
            <v>18</v>
          </cell>
          <cell r="H187">
            <v>175</v>
          </cell>
        </row>
        <row r="188">
          <cell r="C188" t="str">
            <v>Velcro _Loop-38mm-Black_Diamond</v>
          </cell>
          <cell r="E188">
            <v>4.25</v>
          </cell>
          <cell r="F188">
            <v>39269099</v>
          </cell>
          <cell r="G188">
            <v>18</v>
          </cell>
          <cell r="H188">
            <v>200</v>
          </cell>
        </row>
        <row r="189">
          <cell r="C189" t="str">
            <v>Velcro _Loop-50mm-Black_Max</v>
          </cell>
          <cell r="E189">
            <v>6</v>
          </cell>
          <cell r="F189">
            <v>39269099</v>
          </cell>
          <cell r="G189">
            <v>18</v>
          </cell>
          <cell r="H189">
            <v>200</v>
          </cell>
        </row>
        <row r="190">
          <cell r="C190" t="str">
            <v>Washer</v>
          </cell>
          <cell r="E190">
            <v>2</v>
          </cell>
          <cell r="F190">
            <v>7318</v>
          </cell>
          <cell r="G190">
            <v>18</v>
          </cell>
          <cell r="H190">
            <v>2800</v>
          </cell>
        </row>
        <row r="191">
          <cell r="C191" t="str">
            <v>Water Proof Zipper_7No.</v>
          </cell>
          <cell r="E191">
            <v>19.75</v>
          </cell>
          <cell r="F191">
            <v>96071910</v>
          </cell>
          <cell r="G191">
            <v>5</v>
          </cell>
          <cell r="H191">
            <v>400</v>
          </cell>
        </row>
        <row r="192">
          <cell r="C192" t="str">
            <v>WFSF_60"_24No_Black</v>
          </cell>
          <cell r="E192">
            <v>40</v>
          </cell>
          <cell r="F192">
            <v>540710</v>
          </cell>
          <cell r="G192">
            <v>5</v>
          </cell>
          <cell r="H192">
            <v>6573</v>
          </cell>
        </row>
        <row r="193">
          <cell r="C193" t="str">
            <v>Zip_#10No.Black/10CZR30K100YRB-5%</v>
          </cell>
          <cell r="E193">
            <v>520</v>
          </cell>
          <cell r="F193">
            <v>96071910</v>
          </cell>
          <cell r="G193">
            <v>5</v>
          </cell>
          <cell r="H193">
            <v>14</v>
          </cell>
        </row>
        <row r="194">
          <cell r="C194" t="str">
            <v>Zip_#8 No.Black/8 CFC 1.8K100YRB</v>
          </cell>
          <cell r="E194">
            <v>380</v>
          </cell>
          <cell r="F194">
            <v>96071910</v>
          </cell>
          <cell r="G194">
            <v>5</v>
          </cell>
          <cell r="H194">
            <v>65</v>
          </cell>
        </row>
        <row r="195">
          <cell r="C195" t="str">
            <v>Zip_39mm Width_#8 No.Black/8 CFC 2.2K100YRB-5%</v>
          </cell>
          <cell r="E195">
            <v>500</v>
          </cell>
          <cell r="F195">
            <v>96072000</v>
          </cell>
          <cell r="G195">
            <v>5</v>
          </cell>
          <cell r="H195">
            <v>20</v>
          </cell>
        </row>
        <row r="196">
          <cell r="C196" t="str">
            <v>Bottom Stud Round Stand Black-Ff114</v>
          </cell>
          <cell r="E196">
            <v>1.5</v>
          </cell>
          <cell r="F196">
            <v>3926</v>
          </cell>
          <cell r="G196">
            <v>18</v>
          </cell>
          <cell r="H196">
            <v>9</v>
          </cell>
        </row>
        <row r="197">
          <cell r="C197" t="str">
            <v>Hook-Black - 38mm-Alpha</v>
          </cell>
          <cell r="E197">
            <v>4.8</v>
          </cell>
          <cell r="F197">
            <v>39269049</v>
          </cell>
          <cell r="G197">
            <v>18</v>
          </cell>
          <cell r="H197">
            <v>1300</v>
          </cell>
        </row>
        <row r="198">
          <cell r="C198" t="str">
            <v>PP WOVEN BAG_38"*34"_Printed</v>
          </cell>
          <cell r="E198">
            <v>21.95</v>
          </cell>
          <cell r="F198">
            <v>392329</v>
          </cell>
          <cell r="G198">
            <v>18</v>
          </cell>
          <cell r="H198">
            <v>1235</v>
          </cell>
        </row>
        <row r="199">
          <cell r="C199" t="str">
            <v>S.S WIRE 3mm</v>
          </cell>
          <cell r="E199">
            <v>9.6999999999999993</v>
          </cell>
          <cell r="F199">
            <v>7314</v>
          </cell>
          <cell r="G199">
            <v>18</v>
          </cell>
          <cell r="H199">
            <v>468</v>
          </cell>
        </row>
        <row r="200">
          <cell r="C200" t="str">
            <v>STEEL RING</v>
          </cell>
          <cell r="E200">
            <v>8</v>
          </cell>
          <cell r="F200">
            <v>8477</v>
          </cell>
          <cell r="G200">
            <v>18</v>
          </cell>
          <cell r="H200">
            <v>500</v>
          </cell>
        </row>
        <row r="201">
          <cell r="C201" t="str">
            <v xml:space="preserve">5 NO. CFC GREEN 2.400 KG - 180 MTR </v>
          </cell>
          <cell r="E201">
            <v>500</v>
          </cell>
          <cell r="F201">
            <v>96071910</v>
          </cell>
          <cell r="G201">
            <v>5</v>
          </cell>
          <cell r="H201">
            <v>17</v>
          </cell>
        </row>
        <row r="202">
          <cell r="C202" t="str">
            <v xml:space="preserve">5 NO. CFC YELLOW 2.400 KG - 180 MTR </v>
          </cell>
          <cell r="E202">
            <v>500</v>
          </cell>
          <cell r="F202">
            <v>96071910</v>
          </cell>
          <cell r="G202">
            <v>5</v>
          </cell>
          <cell r="H202">
            <v>5</v>
          </cell>
        </row>
        <row r="203">
          <cell r="C203" t="str">
            <v xml:space="preserve">5 NO. CFC ORANGE 2.400 KG - 180 MTR </v>
          </cell>
          <cell r="E203">
            <v>500</v>
          </cell>
          <cell r="F203">
            <v>96071910</v>
          </cell>
          <cell r="G203">
            <v>5</v>
          </cell>
          <cell r="H203">
            <v>10</v>
          </cell>
        </row>
        <row r="204">
          <cell r="C204" t="str">
            <v xml:space="preserve">5 NO. CFC WHITE 2.400 KG - 180 MTR </v>
          </cell>
          <cell r="E204">
            <v>500</v>
          </cell>
          <cell r="F204">
            <v>96071910</v>
          </cell>
          <cell r="G204">
            <v>5</v>
          </cell>
          <cell r="H204">
            <v>2</v>
          </cell>
        </row>
        <row r="205">
          <cell r="C205" t="str">
            <v xml:space="preserve">5 NO. CFC RED 2.400 KG - 180 MTR </v>
          </cell>
          <cell r="E205">
            <v>500</v>
          </cell>
          <cell r="F205">
            <v>96071910</v>
          </cell>
          <cell r="G205">
            <v>5</v>
          </cell>
          <cell r="H205">
            <v>1</v>
          </cell>
        </row>
        <row r="206">
          <cell r="C206" t="str">
            <v xml:space="preserve">5 NO. CFC BLACK 2.400 KG - 180 MTR </v>
          </cell>
          <cell r="E206">
            <v>500</v>
          </cell>
          <cell r="F206">
            <v>96071910</v>
          </cell>
          <cell r="G206">
            <v>5</v>
          </cell>
          <cell r="H206">
            <v>1</v>
          </cell>
        </row>
        <row r="207">
          <cell r="C207" t="str">
            <v xml:space="preserve">5 NO. CFC BLUE 2.400 KG - 180 MTR </v>
          </cell>
          <cell r="E207">
            <v>500</v>
          </cell>
          <cell r="F207">
            <v>96071910</v>
          </cell>
          <cell r="G207">
            <v>5</v>
          </cell>
          <cell r="H207">
            <v>13</v>
          </cell>
        </row>
        <row r="208">
          <cell r="C208" t="str">
            <v xml:space="preserve">DORI 5 PLY </v>
          </cell>
          <cell r="E208">
            <v>4</v>
          </cell>
          <cell r="F208">
            <v>58063200</v>
          </cell>
          <cell r="G208">
            <v>5</v>
          </cell>
          <cell r="H208">
            <v>141</v>
          </cell>
        </row>
        <row r="209">
          <cell r="C209" t="str">
            <v>Knitted Elastic -30 mm Black</v>
          </cell>
          <cell r="E209">
            <v>3.5</v>
          </cell>
          <cell r="F209">
            <v>60029000</v>
          </cell>
          <cell r="G209">
            <v>5</v>
          </cell>
          <cell r="H209">
            <v>0</v>
          </cell>
        </row>
        <row r="210">
          <cell r="C210" t="str">
            <v xml:space="preserve">D ring Flat - 25 mm Plastic </v>
          </cell>
          <cell r="E210">
            <v>1.32</v>
          </cell>
          <cell r="F210">
            <v>96072000</v>
          </cell>
          <cell r="G210">
            <v>5</v>
          </cell>
          <cell r="H210">
            <v>230500</v>
          </cell>
        </row>
        <row r="211">
          <cell r="C211" t="str">
            <v xml:space="preserve">BAG CLOSURE THREAD 3 PLY </v>
          </cell>
          <cell r="F211">
            <v>55081000</v>
          </cell>
          <cell r="G211">
            <v>5</v>
          </cell>
          <cell r="H211">
            <v>200</v>
          </cell>
        </row>
        <row r="212">
          <cell r="C212" t="str">
            <v xml:space="preserve">25 MM PREMIUM SOFT 270 PER KG / 60 MTR </v>
          </cell>
          <cell r="E212">
            <v>270</v>
          </cell>
          <cell r="F212">
            <v>58063200</v>
          </cell>
          <cell r="G212">
            <v>5</v>
          </cell>
          <cell r="H212">
            <v>0</v>
          </cell>
        </row>
        <row r="213">
          <cell r="C213" t="str">
            <v xml:space="preserve">PP NIWAR 25 MM 4.67 GRAM / 200 MTR PER KG BLACK </v>
          </cell>
          <cell r="E213">
            <v>240</v>
          </cell>
          <cell r="F213">
            <v>58063200</v>
          </cell>
          <cell r="G213">
            <v>5</v>
          </cell>
          <cell r="H213">
            <v>-747.6400000000001</v>
          </cell>
        </row>
        <row r="214">
          <cell r="C214" t="str">
            <v xml:space="preserve">YKK BLACK - 5 NO. - RC CFC- 200 MTR PER BUNDLE </v>
          </cell>
          <cell r="E214">
            <v>16.5</v>
          </cell>
          <cell r="F214">
            <v>96072000</v>
          </cell>
          <cell r="G214">
            <v>5</v>
          </cell>
          <cell r="H214">
            <v>0</v>
          </cell>
        </row>
        <row r="215">
          <cell r="C215" t="str">
            <v>YKK SLIDER RC 5 NO. CFC REVERSE BODY DFB2WEJ</v>
          </cell>
          <cell r="E215">
            <v>7.4</v>
          </cell>
          <cell r="F215">
            <v>96072000</v>
          </cell>
          <cell r="G215">
            <v>5</v>
          </cell>
          <cell r="H215">
            <v>800</v>
          </cell>
        </row>
        <row r="216">
          <cell r="C216" t="str">
            <v xml:space="preserve">YKK SLIDER RC 5 NO. CFC REVERSE BODY DFB2WEJ- SHORT PULLER </v>
          </cell>
          <cell r="E216">
            <v>6.75</v>
          </cell>
          <cell r="F216">
            <v>96072000</v>
          </cell>
          <cell r="G216">
            <v>5</v>
          </cell>
          <cell r="H216">
            <v>3100</v>
          </cell>
        </row>
        <row r="217">
          <cell r="C217" t="str">
            <v>A/4 Sticker Label (White)</v>
          </cell>
          <cell r="D217" t="str">
            <v>CF_58"x50mtr_PVC Cherry Cord_6x2_ 400GSM_RED+WR- 5%</v>
          </cell>
          <cell r="E217">
            <v>275</v>
          </cell>
          <cell r="F217">
            <v>4821</v>
          </cell>
          <cell r="G217">
            <v>18</v>
          </cell>
          <cell r="H217">
            <v>17</v>
          </cell>
        </row>
        <row r="218">
          <cell r="C218" t="str">
            <v>Sticker Print-18%</v>
          </cell>
          <cell r="E218">
            <v>200</v>
          </cell>
          <cell r="F218">
            <v>49089000</v>
          </cell>
          <cell r="G218">
            <v>18</v>
          </cell>
          <cell r="H218">
            <v>17.8</v>
          </cell>
        </row>
        <row r="219">
          <cell r="C219" t="str">
            <v>Tefta Label with QR Code_40mm x 50 mm- 5%</v>
          </cell>
          <cell r="E219">
            <v>0.37</v>
          </cell>
          <cell r="F219">
            <v>580710</v>
          </cell>
          <cell r="G219">
            <v>5</v>
          </cell>
          <cell r="H219">
            <v>96571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0"/>
  <sheetViews>
    <sheetView tabSelected="1" topLeftCell="A16" workbookViewId="0">
      <selection activeCell="B5" sqref="B5"/>
    </sheetView>
  </sheetViews>
  <sheetFormatPr defaultRowHeight="14.25" x14ac:dyDescent="0.45"/>
  <cols>
    <col min="1" max="1" width="5.59765625" style="1" bestFit="1" customWidth="1"/>
    <col min="2" max="2" width="54.3984375" style="1" bestFit="1" customWidth="1"/>
    <col min="3" max="3" width="10.3984375" style="1" bestFit="1" customWidth="1"/>
    <col min="4" max="4" width="7.73046875" style="1" bestFit="1" customWidth="1"/>
    <col min="5" max="5" width="11.9296875" style="1" bestFit="1" customWidth="1"/>
    <col min="6" max="6" width="9.19921875" style="1" bestFit="1" customWidth="1"/>
    <col min="7" max="7" width="9.06640625" style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257</v>
      </c>
      <c r="G1" s="2" t="s">
        <v>254</v>
      </c>
    </row>
    <row r="2" spans="1:7" x14ac:dyDescent="0.45">
      <c r="A2" s="1" t="s">
        <v>5</v>
      </c>
      <c r="B2" s="1" t="s">
        <v>14</v>
      </c>
      <c r="C2" s="1" t="s">
        <v>230</v>
      </c>
      <c r="D2" s="1" t="s">
        <v>250</v>
      </c>
      <c r="E2" s="1" t="s">
        <v>8</v>
      </c>
      <c r="F2" s="3">
        <f>VLOOKUP(B2,[1]Sheet1!$C:$H,6,0)</f>
        <v>5</v>
      </c>
      <c r="G2" s="2" t="s">
        <v>256</v>
      </c>
    </row>
    <row r="3" spans="1:7" x14ac:dyDescent="0.45">
      <c r="A3" s="1" t="s">
        <v>5</v>
      </c>
      <c r="B3" s="1" t="s">
        <v>15</v>
      </c>
      <c r="C3" s="1" t="s">
        <v>231</v>
      </c>
      <c r="D3" s="1" t="s">
        <v>250</v>
      </c>
      <c r="E3" s="1" t="s">
        <v>8</v>
      </c>
      <c r="F3" s="3">
        <f>VLOOKUP(B3,[1]Sheet1!$C:$H,6,0)</f>
        <v>6928</v>
      </c>
      <c r="G3" s="2" t="s">
        <v>256</v>
      </c>
    </row>
    <row r="4" spans="1:7" x14ac:dyDescent="0.45">
      <c r="A4" s="1" t="s">
        <v>5</v>
      </c>
      <c r="B4" s="1" t="s">
        <v>16</v>
      </c>
      <c r="C4" s="1" t="s">
        <v>232</v>
      </c>
      <c r="D4" s="1" t="s">
        <v>250</v>
      </c>
      <c r="E4" s="1" t="s">
        <v>8</v>
      </c>
      <c r="F4" s="3">
        <f>VLOOKUP(B4,[1]Sheet1!$C:$H,6,0)</f>
        <v>25</v>
      </c>
      <c r="G4" s="2" t="s">
        <v>256</v>
      </c>
    </row>
    <row r="5" spans="1:7" x14ac:dyDescent="0.45">
      <c r="A5" s="1" t="s">
        <v>5</v>
      </c>
      <c r="B5" s="1" t="s">
        <v>17</v>
      </c>
      <c r="C5" s="1" t="s">
        <v>230</v>
      </c>
      <c r="D5" s="1" t="s">
        <v>250</v>
      </c>
      <c r="E5" s="1" t="s">
        <v>8</v>
      </c>
      <c r="F5" s="3">
        <f>VLOOKUP(B5,[1]Sheet1!$C:$H,6,0)</f>
        <v>6.8340000000000032</v>
      </c>
      <c r="G5" s="2" t="s">
        <v>256</v>
      </c>
    </row>
    <row r="6" spans="1:7" x14ac:dyDescent="0.45">
      <c r="A6" s="1" t="s">
        <v>5</v>
      </c>
      <c r="B6" s="1" t="s">
        <v>18</v>
      </c>
      <c r="C6" s="1" t="s">
        <v>230</v>
      </c>
      <c r="D6" s="1" t="s">
        <v>250</v>
      </c>
      <c r="E6" s="1" t="s">
        <v>8</v>
      </c>
      <c r="F6" s="3">
        <f>VLOOKUP(B6,[1]Sheet1!$C:$H,6,0)</f>
        <v>450</v>
      </c>
      <c r="G6" s="2" t="s">
        <v>256</v>
      </c>
    </row>
    <row r="7" spans="1:7" x14ac:dyDescent="0.45">
      <c r="A7" s="1" t="s">
        <v>5</v>
      </c>
      <c r="B7" s="1" t="s">
        <v>19</v>
      </c>
      <c r="C7" s="1" t="s">
        <v>230</v>
      </c>
      <c r="D7" s="1" t="s">
        <v>250</v>
      </c>
      <c r="E7" s="1" t="s">
        <v>8</v>
      </c>
      <c r="F7" s="3">
        <f>VLOOKUP(B7,[1]Sheet1!$C:$H,6,0)</f>
        <v>0</v>
      </c>
      <c r="G7" s="2" t="s">
        <v>256</v>
      </c>
    </row>
    <row r="8" spans="1:7" x14ac:dyDescent="0.45">
      <c r="A8" s="1" t="s">
        <v>5</v>
      </c>
      <c r="B8" s="1" t="s">
        <v>20</v>
      </c>
      <c r="C8" s="1" t="s">
        <v>230</v>
      </c>
      <c r="D8" s="1" t="s">
        <v>250</v>
      </c>
      <c r="E8" s="1" t="s">
        <v>8</v>
      </c>
      <c r="F8" s="3">
        <f>VLOOKUP(B8,[1]Sheet1!$C:$H,6,0)</f>
        <v>0</v>
      </c>
      <c r="G8" s="2" t="s">
        <v>256</v>
      </c>
    </row>
    <row r="9" spans="1:7" x14ac:dyDescent="0.45">
      <c r="A9" s="1" t="s">
        <v>5</v>
      </c>
      <c r="B9" s="1" t="s">
        <v>21</v>
      </c>
      <c r="C9" s="1" t="s">
        <v>233</v>
      </c>
      <c r="D9" s="1" t="s">
        <v>250</v>
      </c>
      <c r="E9" s="1" t="s">
        <v>8</v>
      </c>
      <c r="F9" s="3">
        <f>VLOOKUP(B9,[1]Sheet1!$C:$H,6,0)</f>
        <v>557</v>
      </c>
      <c r="G9" s="2" t="s">
        <v>256</v>
      </c>
    </row>
    <row r="10" spans="1:7" x14ac:dyDescent="0.45">
      <c r="A10" s="1" t="s">
        <v>5</v>
      </c>
      <c r="B10" s="1" t="s">
        <v>22</v>
      </c>
      <c r="C10" s="1" t="s">
        <v>233</v>
      </c>
      <c r="D10" s="1" t="s">
        <v>250</v>
      </c>
      <c r="E10" s="1" t="s">
        <v>8</v>
      </c>
      <c r="F10" s="3">
        <f>VLOOKUP(B10,[1]Sheet1!$C:$H,6,0)</f>
        <v>866</v>
      </c>
      <c r="G10" s="2" t="s">
        <v>256</v>
      </c>
    </row>
    <row r="11" spans="1:7" x14ac:dyDescent="0.45">
      <c r="A11" s="1" t="s">
        <v>5</v>
      </c>
      <c r="B11" s="1" t="s">
        <v>23</v>
      </c>
      <c r="C11" s="1" t="s">
        <v>233</v>
      </c>
      <c r="D11" s="1" t="s">
        <v>250</v>
      </c>
      <c r="E11" s="1" t="s">
        <v>8</v>
      </c>
      <c r="F11" s="3">
        <f>VLOOKUP(B11,[1]Sheet1!$C:$H,6,0)</f>
        <v>105</v>
      </c>
      <c r="G11" s="2" t="s">
        <v>256</v>
      </c>
    </row>
    <row r="12" spans="1:7" x14ac:dyDescent="0.45">
      <c r="A12" s="1" t="s">
        <v>5</v>
      </c>
      <c r="B12" s="1" t="s">
        <v>24</v>
      </c>
      <c r="C12" s="1" t="s">
        <v>233</v>
      </c>
      <c r="D12" s="1" t="s">
        <v>250</v>
      </c>
      <c r="E12" s="1" t="s">
        <v>8</v>
      </c>
      <c r="F12" s="3">
        <f>VLOOKUP(B12,[1]Sheet1!$C:$H,6,0)</f>
        <v>140</v>
      </c>
      <c r="G12" s="2" t="s">
        <v>256</v>
      </c>
    </row>
    <row r="13" spans="1:7" x14ac:dyDescent="0.45">
      <c r="A13" s="1" t="s">
        <v>5</v>
      </c>
      <c r="B13" s="1" t="s">
        <v>25</v>
      </c>
      <c r="C13" s="1" t="s">
        <v>230</v>
      </c>
      <c r="D13" s="1" t="s">
        <v>250</v>
      </c>
      <c r="E13" s="1" t="s">
        <v>8</v>
      </c>
      <c r="F13" s="3">
        <f>VLOOKUP(B13,[1]Sheet1!$C:$H,6,0)</f>
        <v>10</v>
      </c>
      <c r="G13" s="2" t="s">
        <v>256</v>
      </c>
    </row>
    <row r="14" spans="1:7" x14ac:dyDescent="0.45">
      <c r="A14" s="1" t="s">
        <v>5</v>
      </c>
      <c r="B14" s="1" t="s">
        <v>26</v>
      </c>
      <c r="C14" s="1" t="s">
        <v>230</v>
      </c>
      <c r="D14" s="1" t="s">
        <v>250</v>
      </c>
      <c r="E14" s="1" t="s">
        <v>8</v>
      </c>
      <c r="F14" s="3">
        <f>VLOOKUP(B14,[1]Sheet1!$C:$H,6,0)</f>
        <v>10</v>
      </c>
      <c r="G14" s="2" t="s">
        <v>256</v>
      </c>
    </row>
    <row r="15" spans="1:7" x14ac:dyDescent="0.45">
      <c r="A15" s="1" t="s">
        <v>5</v>
      </c>
      <c r="B15" s="1" t="s">
        <v>27</v>
      </c>
      <c r="C15" s="1" t="s">
        <v>232</v>
      </c>
      <c r="D15" s="1" t="s">
        <v>250</v>
      </c>
      <c r="E15" s="1" t="s">
        <v>8</v>
      </c>
      <c r="F15" s="3">
        <f>VLOOKUP(B15,[1]Sheet1!$C:$H,6,0)</f>
        <v>200</v>
      </c>
      <c r="G15" s="2" t="s">
        <v>256</v>
      </c>
    </row>
    <row r="16" spans="1:7" x14ac:dyDescent="0.45">
      <c r="A16" s="1" t="s">
        <v>5</v>
      </c>
      <c r="B16" s="1" t="s">
        <v>28</v>
      </c>
      <c r="C16" s="1" t="s">
        <v>234</v>
      </c>
      <c r="D16" s="1" t="s">
        <v>250</v>
      </c>
      <c r="E16" s="1" t="s">
        <v>8</v>
      </c>
      <c r="F16" s="3">
        <f>VLOOKUP(B16,[1]Sheet1!$C:$H,6,0)</f>
        <v>5</v>
      </c>
      <c r="G16" s="2" t="s">
        <v>256</v>
      </c>
    </row>
    <row r="17" spans="1:7" x14ac:dyDescent="0.45">
      <c r="A17" s="1" t="s">
        <v>5</v>
      </c>
      <c r="B17" s="1" t="s">
        <v>29</v>
      </c>
      <c r="C17" s="1" t="s">
        <v>230</v>
      </c>
      <c r="D17" s="1" t="s">
        <v>250</v>
      </c>
      <c r="E17" s="1" t="s">
        <v>8</v>
      </c>
      <c r="F17" s="3">
        <f>VLOOKUP(B17,[1]Sheet1!$C:$H,6,0)</f>
        <v>200.20000000000073</v>
      </c>
      <c r="G17" s="2" t="s">
        <v>256</v>
      </c>
    </row>
    <row r="18" spans="1:7" x14ac:dyDescent="0.45">
      <c r="A18" s="1" t="s">
        <v>5</v>
      </c>
      <c r="B18" s="1" t="s">
        <v>30</v>
      </c>
      <c r="C18" s="1" t="s">
        <v>230</v>
      </c>
      <c r="D18" s="1" t="s">
        <v>250</v>
      </c>
      <c r="E18" s="1" t="s">
        <v>8</v>
      </c>
      <c r="F18" s="3">
        <f>VLOOKUP(B18,[1]Sheet1!$C:$H,6,0)</f>
        <v>250</v>
      </c>
      <c r="G18" s="2" t="s">
        <v>256</v>
      </c>
    </row>
    <row r="19" spans="1:7" x14ac:dyDescent="0.45">
      <c r="A19" s="1" t="s">
        <v>5</v>
      </c>
      <c r="B19" s="1" t="s">
        <v>31</v>
      </c>
      <c r="C19" s="1" t="s">
        <v>230</v>
      </c>
      <c r="D19" s="1" t="s">
        <v>250</v>
      </c>
      <c r="E19" s="1" t="s">
        <v>8</v>
      </c>
      <c r="F19" s="3">
        <f>VLOOKUP(B19,[1]Sheet1!$C:$H,6,0)</f>
        <v>0.1999999999998181</v>
      </c>
      <c r="G19" s="2" t="s">
        <v>256</v>
      </c>
    </row>
    <row r="20" spans="1:7" x14ac:dyDescent="0.45">
      <c r="A20" s="1" t="s">
        <v>5</v>
      </c>
      <c r="B20" s="1" t="s">
        <v>32</v>
      </c>
      <c r="C20" s="1" t="s">
        <v>230</v>
      </c>
      <c r="D20" s="1" t="s">
        <v>250</v>
      </c>
      <c r="E20" s="1" t="s">
        <v>8</v>
      </c>
      <c r="F20" s="3">
        <f>VLOOKUP(B20,[1]Sheet1!$C:$H,6,0)</f>
        <v>320</v>
      </c>
      <c r="G20" s="2" t="s">
        <v>256</v>
      </c>
    </row>
    <row r="21" spans="1:7" x14ac:dyDescent="0.45">
      <c r="A21" s="1" t="s">
        <v>5</v>
      </c>
      <c r="B21" s="1" t="s">
        <v>33</v>
      </c>
      <c r="C21" s="1" t="s">
        <v>230</v>
      </c>
      <c r="D21" s="1" t="s">
        <v>250</v>
      </c>
      <c r="E21" s="1" t="s">
        <v>8</v>
      </c>
      <c r="F21" s="3">
        <f>VLOOKUP(B21,[1]Sheet1!$C:$H,6,0)</f>
        <v>53.364000000000033</v>
      </c>
      <c r="G21" s="2" t="s">
        <v>256</v>
      </c>
    </row>
    <row r="22" spans="1:7" x14ac:dyDescent="0.45">
      <c r="A22" s="1" t="s">
        <v>5</v>
      </c>
      <c r="B22" s="1" t="s">
        <v>34</v>
      </c>
      <c r="C22" s="1" t="s">
        <v>230</v>
      </c>
      <c r="D22" s="1" t="s">
        <v>250</v>
      </c>
      <c r="E22" s="1" t="s">
        <v>8</v>
      </c>
      <c r="F22" s="3">
        <f>VLOOKUP(B22,[1]Sheet1!$C:$H,6,0)</f>
        <v>0</v>
      </c>
      <c r="G22" s="2" t="s">
        <v>256</v>
      </c>
    </row>
    <row r="23" spans="1:7" x14ac:dyDescent="0.45">
      <c r="A23" s="1" t="s">
        <v>5</v>
      </c>
      <c r="B23" s="1" t="s">
        <v>35</v>
      </c>
      <c r="C23" s="1" t="s">
        <v>227</v>
      </c>
      <c r="D23" s="1" t="s">
        <v>250</v>
      </c>
      <c r="E23" s="1" t="s">
        <v>8</v>
      </c>
      <c r="F23" s="3">
        <f>VLOOKUP(B23,[1]Sheet1!$C:$H,6,0)</f>
        <v>20</v>
      </c>
      <c r="G23" s="2" t="s">
        <v>256</v>
      </c>
    </row>
    <row r="24" spans="1:7" x14ac:dyDescent="0.45">
      <c r="A24" s="1" t="s">
        <v>5</v>
      </c>
      <c r="B24" s="1" t="s">
        <v>36</v>
      </c>
      <c r="C24" s="1" t="s">
        <v>230</v>
      </c>
      <c r="D24" s="1" t="s">
        <v>250</v>
      </c>
      <c r="E24" s="1" t="s">
        <v>8</v>
      </c>
      <c r="F24" s="3">
        <f>VLOOKUP(B24,[1]Sheet1!$C:$H,6,0)</f>
        <v>33129.599999999999</v>
      </c>
      <c r="G24" s="2" t="s">
        <v>256</v>
      </c>
    </row>
    <row r="25" spans="1:7" x14ac:dyDescent="0.45">
      <c r="A25" s="1" t="s">
        <v>5</v>
      </c>
      <c r="B25" s="1" t="s">
        <v>37</v>
      </c>
      <c r="C25" s="1" t="s">
        <v>232</v>
      </c>
      <c r="D25" s="1" t="s">
        <v>250</v>
      </c>
      <c r="E25" s="1" t="s">
        <v>8</v>
      </c>
      <c r="F25" s="3">
        <f>VLOOKUP(B25,[1]Sheet1!$C:$H,6,0)</f>
        <v>7168</v>
      </c>
      <c r="G25" s="2" t="s">
        <v>256</v>
      </c>
    </row>
    <row r="26" spans="1:7" x14ac:dyDescent="0.45">
      <c r="A26" s="1" t="s">
        <v>5</v>
      </c>
      <c r="B26" s="1" t="s">
        <v>38</v>
      </c>
      <c r="C26" s="1" t="s">
        <v>230</v>
      </c>
      <c r="D26" s="1" t="s">
        <v>250</v>
      </c>
      <c r="E26" s="1" t="s">
        <v>8</v>
      </c>
      <c r="F26" s="3">
        <f>VLOOKUP(B26,[1]Sheet1!$C:$H,6,0)</f>
        <v>0</v>
      </c>
      <c r="G26" s="2" t="s">
        <v>256</v>
      </c>
    </row>
    <row r="27" spans="1:7" x14ac:dyDescent="0.45">
      <c r="A27" s="1" t="s">
        <v>5</v>
      </c>
      <c r="B27" s="1" t="s">
        <v>63</v>
      </c>
      <c r="C27" s="1" t="s">
        <v>240</v>
      </c>
      <c r="D27" s="1" t="s">
        <v>252</v>
      </c>
      <c r="E27" s="1" t="s">
        <v>8</v>
      </c>
      <c r="F27" s="3">
        <f>VLOOKUP(B27,[1]Sheet1!$C:$H,6,0)</f>
        <v>0</v>
      </c>
      <c r="G27" s="2" t="s">
        <v>256</v>
      </c>
    </row>
    <row r="28" spans="1:7" x14ac:dyDescent="0.45">
      <c r="A28" s="1" t="s">
        <v>5</v>
      </c>
      <c r="B28" s="1" t="s">
        <v>64</v>
      </c>
      <c r="C28" s="1" t="s">
        <v>240</v>
      </c>
      <c r="D28" s="1" t="s">
        <v>252</v>
      </c>
      <c r="E28" s="1" t="s">
        <v>8</v>
      </c>
      <c r="F28" s="3">
        <f>VLOOKUP(B28,[1]Sheet1!$C:$H,6,0)</f>
        <v>0</v>
      </c>
      <c r="G28" s="2" t="s">
        <v>256</v>
      </c>
    </row>
    <row r="29" spans="1:7" x14ac:dyDescent="0.45">
      <c r="A29" s="1" t="s">
        <v>5</v>
      </c>
      <c r="B29" s="1" t="s">
        <v>85</v>
      </c>
      <c r="C29" s="1" t="s">
        <v>245</v>
      </c>
      <c r="D29" s="1" t="s">
        <v>252</v>
      </c>
      <c r="E29" s="1" t="s">
        <v>8</v>
      </c>
      <c r="F29" s="3">
        <f>VLOOKUP(B29,[1]Sheet1!$C:$H,6,0)</f>
        <v>45</v>
      </c>
      <c r="G29" s="2" t="s">
        <v>256</v>
      </c>
    </row>
    <row r="30" spans="1:7" x14ac:dyDescent="0.45">
      <c r="A30" s="1" t="s">
        <v>5</v>
      </c>
      <c r="B30" s="1" t="s">
        <v>86</v>
      </c>
      <c r="C30" s="1" t="s">
        <v>245</v>
      </c>
      <c r="D30" s="1" t="s">
        <v>252</v>
      </c>
      <c r="E30" s="1" t="s">
        <v>8</v>
      </c>
      <c r="F30" s="3">
        <f>VLOOKUP(B30,[1]Sheet1!$C:$H,6,0)</f>
        <v>30</v>
      </c>
      <c r="G30" s="2" t="s">
        <v>256</v>
      </c>
    </row>
    <row r="31" spans="1:7" x14ac:dyDescent="0.45">
      <c r="A31" s="1" t="s">
        <v>5</v>
      </c>
      <c r="B31" s="1" t="s">
        <v>87</v>
      </c>
      <c r="C31" s="1" t="s">
        <v>245</v>
      </c>
      <c r="D31" s="1" t="s">
        <v>252</v>
      </c>
      <c r="E31" s="1" t="s">
        <v>8</v>
      </c>
      <c r="F31" s="3">
        <f>VLOOKUP(B31,[1]Sheet1!$C:$H,6,0)</f>
        <v>10</v>
      </c>
      <c r="G31" s="2" t="s">
        <v>256</v>
      </c>
    </row>
    <row r="32" spans="1:7" x14ac:dyDescent="0.45">
      <c r="A32" s="1" t="s">
        <v>5</v>
      </c>
      <c r="B32" s="1" t="s">
        <v>88</v>
      </c>
      <c r="C32" s="1" t="s">
        <v>245</v>
      </c>
      <c r="D32" s="1" t="s">
        <v>252</v>
      </c>
      <c r="E32" s="1" t="s">
        <v>8</v>
      </c>
      <c r="F32" s="3">
        <f>VLOOKUP(B32,[1]Sheet1!$C:$H,6,0)</f>
        <v>10</v>
      </c>
      <c r="G32" s="2" t="s">
        <v>256</v>
      </c>
    </row>
    <row r="33" spans="1:7" x14ac:dyDescent="0.45">
      <c r="A33" s="1" t="s">
        <v>5</v>
      </c>
      <c r="B33" s="1" t="s">
        <v>89</v>
      </c>
      <c r="C33" s="1" t="s">
        <v>245</v>
      </c>
      <c r="D33" s="1" t="s">
        <v>252</v>
      </c>
      <c r="E33" s="1" t="s">
        <v>8</v>
      </c>
      <c r="F33" s="3">
        <f>VLOOKUP(B33,[1]Sheet1!$C:$H,6,0)</f>
        <v>24450</v>
      </c>
      <c r="G33" s="2" t="s">
        <v>256</v>
      </c>
    </row>
    <row r="34" spans="1:7" x14ac:dyDescent="0.45">
      <c r="A34" s="1" t="s">
        <v>5</v>
      </c>
      <c r="B34" s="1" t="s">
        <v>90</v>
      </c>
      <c r="C34" s="1" t="s">
        <v>245</v>
      </c>
      <c r="D34" s="1" t="s">
        <v>252</v>
      </c>
      <c r="E34" s="1" t="s">
        <v>8</v>
      </c>
      <c r="F34" s="3">
        <f>VLOOKUP(B34,[1]Sheet1!$C:$H,6,0)</f>
        <v>30</v>
      </c>
      <c r="G34" s="2" t="s">
        <v>256</v>
      </c>
    </row>
    <row r="35" spans="1:7" x14ac:dyDescent="0.45">
      <c r="A35" s="1" t="s">
        <v>5</v>
      </c>
      <c r="B35" s="1" t="s">
        <v>113</v>
      </c>
      <c r="C35" s="1" t="s">
        <v>246</v>
      </c>
      <c r="D35" s="1" t="s">
        <v>252</v>
      </c>
      <c r="E35" s="1" t="s">
        <v>8</v>
      </c>
      <c r="F35" s="3">
        <f>VLOOKUP(B35,[1]Sheet1!$C:$H,6,0)</f>
        <v>733</v>
      </c>
      <c r="G35" s="2" t="s">
        <v>256</v>
      </c>
    </row>
    <row r="36" spans="1:7" x14ac:dyDescent="0.45">
      <c r="A36" s="1" t="s">
        <v>5</v>
      </c>
      <c r="B36" s="1" t="s">
        <v>114</v>
      </c>
      <c r="C36" s="1" t="s">
        <v>246</v>
      </c>
      <c r="D36" s="1" t="s">
        <v>252</v>
      </c>
      <c r="E36" s="1" t="s">
        <v>8</v>
      </c>
      <c r="F36" s="3">
        <f>VLOOKUP(B36,[1]Sheet1!$C:$H,6,0)</f>
        <v>80.199999999999989</v>
      </c>
      <c r="G36" s="2" t="s">
        <v>256</v>
      </c>
    </row>
    <row r="37" spans="1:7" x14ac:dyDescent="0.45">
      <c r="A37" s="1" t="s">
        <v>5</v>
      </c>
      <c r="B37" s="1" t="s">
        <v>141</v>
      </c>
      <c r="C37" s="1" t="s">
        <v>240</v>
      </c>
      <c r="D37" s="1" t="s">
        <v>252</v>
      </c>
      <c r="E37" s="1" t="s">
        <v>8</v>
      </c>
      <c r="F37" s="3">
        <f>VLOOKUP(B37,[1]Sheet1!$C:$H,6,0)</f>
        <v>-10</v>
      </c>
      <c r="G37" s="2" t="s">
        <v>256</v>
      </c>
    </row>
    <row r="38" spans="1:7" x14ac:dyDescent="0.45">
      <c r="A38" s="1" t="s">
        <v>5</v>
      </c>
      <c r="B38" s="1" t="s">
        <v>142</v>
      </c>
      <c r="C38" s="1" t="s">
        <v>240</v>
      </c>
      <c r="D38" s="1" t="s">
        <v>252</v>
      </c>
      <c r="E38" s="1" t="s">
        <v>8</v>
      </c>
      <c r="F38" s="3">
        <f>VLOOKUP(B38,[1]Sheet1!$C:$H,6,0)</f>
        <v>6</v>
      </c>
      <c r="G38" s="2" t="s">
        <v>256</v>
      </c>
    </row>
    <row r="39" spans="1:7" x14ac:dyDescent="0.45">
      <c r="A39" s="1" t="s">
        <v>5</v>
      </c>
      <c r="B39" s="1" t="s">
        <v>143</v>
      </c>
      <c r="C39" s="1" t="s">
        <v>240</v>
      </c>
      <c r="D39" s="1" t="s">
        <v>252</v>
      </c>
      <c r="E39" s="1" t="s">
        <v>8</v>
      </c>
      <c r="F39" s="3">
        <f>VLOOKUP(B39,[1]Sheet1!$C:$H,6,0)</f>
        <v>4</v>
      </c>
      <c r="G39" s="2" t="s">
        <v>256</v>
      </c>
    </row>
    <row r="40" spans="1:7" x14ac:dyDescent="0.45">
      <c r="A40" s="1" t="s">
        <v>5</v>
      </c>
      <c r="B40" s="1" t="s">
        <v>144</v>
      </c>
      <c r="C40" s="1" t="s">
        <v>240</v>
      </c>
      <c r="D40" s="1" t="s">
        <v>252</v>
      </c>
      <c r="E40" s="1" t="s">
        <v>8</v>
      </c>
      <c r="F40" s="3">
        <f>VLOOKUP(B40,[1]Sheet1!$C:$H,6,0)</f>
        <v>5</v>
      </c>
      <c r="G40" s="2" t="s">
        <v>256</v>
      </c>
    </row>
    <row r="41" spans="1:7" x14ac:dyDescent="0.45">
      <c r="A41" s="1" t="s">
        <v>5</v>
      </c>
      <c r="B41" s="1" t="s">
        <v>145</v>
      </c>
      <c r="C41" s="1" t="s">
        <v>240</v>
      </c>
      <c r="D41" s="1" t="s">
        <v>252</v>
      </c>
      <c r="E41" s="1" t="s">
        <v>8</v>
      </c>
      <c r="F41" s="3">
        <f>VLOOKUP(B41,[1]Sheet1!$C:$H,6,0)</f>
        <v>1436</v>
      </c>
      <c r="G41" s="2" t="s">
        <v>256</v>
      </c>
    </row>
    <row r="42" spans="1:7" x14ac:dyDescent="0.45">
      <c r="A42" s="1" t="s">
        <v>5</v>
      </c>
      <c r="B42" s="1" t="s">
        <v>146</v>
      </c>
      <c r="C42" s="1" t="s">
        <v>240</v>
      </c>
      <c r="D42" s="1" t="s">
        <v>252</v>
      </c>
      <c r="E42" s="1" t="s">
        <v>8</v>
      </c>
      <c r="F42" s="3">
        <f>VLOOKUP(B42,[1]Sheet1!$C:$H,6,0)</f>
        <v>0</v>
      </c>
      <c r="G42" s="2" t="s">
        <v>256</v>
      </c>
    </row>
    <row r="43" spans="1:7" x14ac:dyDescent="0.45">
      <c r="A43" s="1" t="s">
        <v>5</v>
      </c>
      <c r="B43" s="1" t="s">
        <v>147</v>
      </c>
      <c r="C43" s="1" t="s">
        <v>240</v>
      </c>
      <c r="D43" s="1" t="s">
        <v>252</v>
      </c>
      <c r="E43" s="1" t="s">
        <v>8</v>
      </c>
      <c r="F43" s="3">
        <f>VLOOKUP(B43,[1]Sheet1!$C:$H,6,0)</f>
        <v>402</v>
      </c>
      <c r="G43" s="2" t="s">
        <v>256</v>
      </c>
    </row>
    <row r="44" spans="1:7" x14ac:dyDescent="0.45">
      <c r="A44" s="1" t="s">
        <v>5</v>
      </c>
      <c r="B44" s="1" t="s">
        <v>148</v>
      </c>
      <c r="C44" s="1" t="s">
        <v>240</v>
      </c>
      <c r="D44" s="1" t="s">
        <v>252</v>
      </c>
      <c r="E44" s="1" t="s">
        <v>8</v>
      </c>
      <c r="F44" s="3">
        <f>VLOOKUP(B44,[1]Sheet1!$C:$H,6,0)</f>
        <v>333</v>
      </c>
      <c r="G44" s="2" t="s">
        <v>256</v>
      </c>
    </row>
    <row r="45" spans="1:7" x14ac:dyDescent="0.45">
      <c r="A45" s="1" t="s">
        <v>5</v>
      </c>
      <c r="B45" s="1" t="s">
        <v>149</v>
      </c>
      <c r="C45" s="1" t="s">
        <v>240</v>
      </c>
      <c r="D45" s="1" t="s">
        <v>252</v>
      </c>
      <c r="E45" s="1" t="s">
        <v>8</v>
      </c>
      <c r="F45" s="3">
        <f>VLOOKUP(B45,[1]Sheet1!$C:$H,6,0)</f>
        <v>-30</v>
      </c>
      <c r="G45" s="2" t="s">
        <v>256</v>
      </c>
    </row>
    <row r="46" spans="1:7" x14ac:dyDescent="0.45">
      <c r="A46" s="1" t="s">
        <v>5</v>
      </c>
      <c r="B46" s="1" t="s">
        <v>150</v>
      </c>
      <c r="C46" s="1" t="s">
        <v>240</v>
      </c>
      <c r="D46" s="1" t="s">
        <v>252</v>
      </c>
      <c r="E46" s="1" t="s">
        <v>8</v>
      </c>
      <c r="F46" s="3">
        <f>VLOOKUP(B46,[1]Sheet1!$C:$H,6,0)</f>
        <v>0</v>
      </c>
      <c r="G46" s="2" t="s">
        <v>256</v>
      </c>
    </row>
    <row r="47" spans="1:7" x14ac:dyDescent="0.45">
      <c r="A47" s="1" t="s">
        <v>5</v>
      </c>
      <c r="B47" s="1" t="s">
        <v>151</v>
      </c>
      <c r="C47" s="1" t="s">
        <v>240</v>
      </c>
      <c r="D47" s="1" t="s">
        <v>252</v>
      </c>
      <c r="E47" s="1" t="s">
        <v>8</v>
      </c>
      <c r="F47" s="3">
        <f>VLOOKUP(B47,[1]Sheet1!$C:$H,6,0)</f>
        <v>160</v>
      </c>
      <c r="G47" s="2" t="s">
        <v>256</v>
      </c>
    </row>
    <row r="48" spans="1:7" x14ac:dyDescent="0.45">
      <c r="A48" s="1" t="s">
        <v>5</v>
      </c>
      <c r="B48" s="1" t="s">
        <v>152</v>
      </c>
      <c r="C48" s="1" t="s">
        <v>240</v>
      </c>
      <c r="D48" s="1" t="s">
        <v>252</v>
      </c>
      <c r="E48" s="1" t="s">
        <v>8</v>
      </c>
      <c r="F48" s="3">
        <f>VLOOKUP(B48,[1]Sheet1!$C:$H,6,0)</f>
        <v>4</v>
      </c>
      <c r="G48" s="2" t="s">
        <v>256</v>
      </c>
    </row>
    <row r="49" spans="1:7" x14ac:dyDescent="0.45">
      <c r="A49" s="1" t="s">
        <v>5</v>
      </c>
      <c r="B49" s="1" t="s">
        <v>153</v>
      </c>
      <c r="C49" s="1" t="s">
        <v>240</v>
      </c>
      <c r="D49" s="1" t="s">
        <v>252</v>
      </c>
      <c r="E49" s="1" t="s">
        <v>8</v>
      </c>
      <c r="F49" s="3">
        <f>VLOOKUP(B49,[1]Sheet1!$C:$H,6,0)</f>
        <v>23</v>
      </c>
      <c r="G49" s="2" t="s">
        <v>256</v>
      </c>
    </row>
    <row r="50" spans="1:7" x14ac:dyDescent="0.45">
      <c r="A50" s="1" t="s">
        <v>5</v>
      </c>
      <c r="B50" s="1" t="s">
        <v>154</v>
      </c>
      <c r="C50" s="1" t="s">
        <v>240</v>
      </c>
      <c r="D50" s="1" t="s">
        <v>252</v>
      </c>
      <c r="E50" s="1" t="s">
        <v>8</v>
      </c>
      <c r="F50" s="3">
        <f>VLOOKUP(B50,[1]Sheet1!$C:$H,6,0)</f>
        <v>11</v>
      </c>
      <c r="G50" s="2" t="s">
        <v>256</v>
      </c>
    </row>
    <row r="51" spans="1:7" x14ac:dyDescent="0.45">
      <c r="A51" s="1" t="s">
        <v>5</v>
      </c>
      <c r="B51" s="1" t="s">
        <v>155</v>
      </c>
      <c r="C51" s="1" t="s">
        <v>240</v>
      </c>
      <c r="D51" s="1" t="s">
        <v>252</v>
      </c>
      <c r="E51" s="1" t="s">
        <v>8</v>
      </c>
      <c r="F51" s="3">
        <f>VLOOKUP(B51,[1]Sheet1!$C:$H,6,0)</f>
        <v>922</v>
      </c>
      <c r="G51" s="2" t="s">
        <v>256</v>
      </c>
    </row>
    <row r="52" spans="1:7" x14ac:dyDescent="0.45">
      <c r="A52" s="1" t="s">
        <v>5</v>
      </c>
      <c r="B52" s="1" t="s">
        <v>156</v>
      </c>
      <c r="C52" s="1" t="s">
        <v>240</v>
      </c>
      <c r="D52" s="1" t="s">
        <v>252</v>
      </c>
      <c r="E52" s="1" t="s">
        <v>8</v>
      </c>
      <c r="F52" s="3">
        <f>VLOOKUP(B52,[1]Sheet1!$C:$H,6,0)</f>
        <v>0</v>
      </c>
      <c r="G52" s="2" t="s">
        <v>256</v>
      </c>
    </row>
    <row r="53" spans="1:7" x14ac:dyDescent="0.45">
      <c r="A53" s="1" t="s">
        <v>5</v>
      </c>
      <c r="B53" s="1" t="s">
        <v>157</v>
      </c>
      <c r="C53" s="1" t="s">
        <v>240</v>
      </c>
      <c r="D53" s="1" t="s">
        <v>252</v>
      </c>
      <c r="E53" s="1" t="s">
        <v>8</v>
      </c>
      <c r="F53" s="3">
        <f>VLOOKUP(B53,[1]Sheet1!$C:$H,6,0)</f>
        <v>244</v>
      </c>
      <c r="G53" s="2" t="s">
        <v>256</v>
      </c>
    </row>
    <row r="54" spans="1:7" x14ac:dyDescent="0.45">
      <c r="A54" s="1" t="s">
        <v>5</v>
      </c>
      <c r="B54" s="1" t="s">
        <v>158</v>
      </c>
      <c r="C54" s="1" t="s">
        <v>240</v>
      </c>
      <c r="D54" s="1" t="s">
        <v>252</v>
      </c>
      <c r="E54" s="1" t="s">
        <v>8</v>
      </c>
      <c r="F54" s="3">
        <f>VLOOKUP(B54,[1]Sheet1!$C:$H,6,0)</f>
        <v>0</v>
      </c>
      <c r="G54" s="2" t="s">
        <v>256</v>
      </c>
    </row>
    <row r="55" spans="1:7" x14ac:dyDescent="0.45">
      <c r="A55" s="1" t="s">
        <v>5</v>
      </c>
      <c r="B55" s="1" t="s">
        <v>159</v>
      </c>
      <c r="C55" s="1" t="s">
        <v>240</v>
      </c>
      <c r="D55" s="1" t="s">
        <v>252</v>
      </c>
      <c r="E55" s="1" t="s">
        <v>8</v>
      </c>
      <c r="F55" s="3">
        <f>VLOOKUP(B55,[1]Sheet1!$C:$H,6,0)</f>
        <v>120</v>
      </c>
      <c r="G55" s="2" t="s">
        <v>256</v>
      </c>
    </row>
    <row r="56" spans="1:7" x14ac:dyDescent="0.45">
      <c r="A56" s="1" t="s">
        <v>5</v>
      </c>
      <c r="B56" s="1" t="s">
        <v>160</v>
      </c>
      <c r="C56" s="1" t="s">
        <v>240</v>
      </c>
      <c r="D56" s="1" t="s">
        <v>252</v>
      </c>
      <c r="E56" s="1" t="s">
        <v>8</v>
      </c>
      <c r="F56" s="3">
        <f>VLOOKUP(B56,[1]Sheet1!$C:$H,6,0)</f>
        <v>0</v>
      </c>
      <c r="G56" s="2" t="s">
        <v>256</v>
      </c>
    </row>
    <row r="57" spans="1:7" x14ac:dyDescent="0.45">
      <c r="A57" s="1" t="s">
        <v>5</v>
      </c>
      <c r="B57" s="1" t="s">
        <v>161</v>
      </c>
      <c r="C57" s="1" t="s">
        <v>240</v>
      </c>
      <c r="D57" s="1" t="s">
        <v>252</v>
      </c>
      <c r="E57" s="1" t="s">
        <v>8</v>
      </c>
      <c r="F57" s="3">
        <f>VLOOKUP(B57,[1]Sheet1!$C:$H,6,0)</f>
        <v>0</v>
      </c>
      <c r="G57" s="2" t="s">
        <v>256</v>
      </c>
    </row>
    <row r="58" spans="1:7" x14ac:dyDescent="0.45">
      <c r="A58" s="1" t="s">
        <v>5</v>
      </c>
      <c r="B58" s="1" t="s">
        <v>162</v>
      </c>
      <c r="C58" s="1" t="s">
        <v>240</v>
      </c>
      <c r="D58" s="1" t="s">
        <v>252</v>
      </c>
      <c r="E58" s="1" t="s">
        <v>8</v>
      </c>
      <c r="F58" s="3">
        <f>VLOOKUP(B58,[1]Sheet1!$C:$H,6,0)</f>
        <v>0</v>
      </c>
      <c r="G58" s="2" t="s">
        <v>256</v>
      </c>
    </row>
    <row r="59" spans="1:7" x14ac:dyDescent="0.45">
      <c r="A59" s="1" t="s">
        <v>5</v>
      </c>
      <c r="B59" s="1" t="s">
        <v>163</v>
      </c>
      <c r="C59" s="1" t="s">
        <v>240</v>
      </c>
      <c r="D59" s="1" t="s">
        <v>252</v>
      </c>
      <c r="E59" s="1" t="s">
        <v>8</v>
      </c>
      <c r="F59" s="3">
        <f>VLOOKUP(B59,[1]Sheet1!$C:$H,6,0)</f>
        <v>0</v>
      </c>
      <c r="G59" s="2" t="s">
        <v>256</v>
      </c>
    </row>
    <row r="60" spans="1:7" x14ac:dyDescent="0.45">
      <c r="A60" s="1" t="s">
        <v>5</v>
      </c>
      <c r="B60" s="1" t="s">
        <v>164</v>
      </c>
      <c r="C60" s="1" t="s">
        <v>240</v>
      </c>
      <c r="D60" s="1" t="s">
        <v>252</v>
      </c>
      <c r="E60" s="1" t="s">
        <v>8</v>
      </c>
      <c r="F60" s="3">
        <f>VLOOKUP(B60,[1]Sheet1!$C:$H,6,0)</f>
        <v>0</v>
      </c>
      <c r="G60" s="2" t="s">
        <v>256</v>
      </c>
    </row>
    <row r="61" spans="1:7" x14ac:dyDescent="0.45">
      <c r="A61" s="1" t="s">
        <v>5</v>
      </c>
      <c r="B61" s="1" t="s">
        <v>165</v>
      </c>
      <c r="C61" s="1" t="s">
        <v>240</v>
      </c>
      <c r="D61" s="1" t="s">
        <v>252</v>
      </c>
      <c r="E61" s="1" t="s">
        <v>8</v>
      </c>
      <c r="F61" s="3">
        <f>VLOOKUP(B61,[1]Sheet1!$C:$H,6,0)</f>
        <v>0</v>
      </c>
      <c r="G61" s="2" t="s">
        <v>256</v>
      </c>
    </row>
    <row r="62" spans="1:7" x14ac:dyDescent="0.45">
      <c r="A62" s="1" t="s">
        <v>5</v>
      </c>
      <c r="B62" s="1" t="s">
        <v>166</v>
      </c>
      <c r="C62" s="1" t="s">
        <v>240</v>
      </c>
      <c r="D62" s="1" t="s">
        <v>252</v>
      </c>
      <c r="E62" s="1" t="s">
        <v>8</v>
      </c>
      <c r="F62" s="3">
        <f>VLOOKUP(B62,[1]Sheet1!$C:$H,6,0)</f>
        <v>0</v>
      </c>
      <c r="G62" s="2" t="s">
        <v>256</v>
      </c>
    </row>
    <row r="63" spans="1:7" x14ac:dyDescent="0.45">
      <c r="A63" s="1" t="s">
        <v>5</v>
      </c>
      <c r="B63" s="1" t="s">
        <v>167</v>
      </c>
      <c r="C63" s="1" t="s">
        <v>240</v>
      </c>
      <c r="D63" s="1" t="s">
        <v>252</v>
      </c>
      <c r="E63" s="1" t="s">
        <v>8</v>
      </c>
      <c r="F63" s="3">
        <f>VLOOKUP(B63,[1]Sheet1!$C:$H,6,0)</f>
        <v>0</v>
      </c>
      <c r="G63" s="2" t="s">
        <v>256</v>
      </c>
    </row>
    <row r="64" spans="1:7" x14ac:dyDescent="0.45">
      <c r="A64" s="1" t="s">
        <v>5</v>
      </c>
      <c r="B64" s="1" t="s">
        <v>168</v>
      </c>
      <c r="C64" s="1" t="s">
        <v>240</v>
      </c>
      <c r="D64" s="1" t="s">
        <v>252</v>
      </c>
      <c r="E64" s="1" t="s">
        <v>8</v>
      </c>
      <c r="F64" s="3">
        <f>VLOOKUP(B64,[1]Sheet1!$C:$H,6,0)</f>
        <v>0</v>
      </c>
      <c r="G64" s="2" t="s">
        <v>256</v>
      </c>
    </row>
    <row r="65" spans="1:7" x14ac:dyDescent="0.45">
      <c r="A65" s="1" t="s">
        <v>5</v>
      </c>
      <c r="B65" s="1" t="s">
        <v>169</v>
      </c>
      <c r="C65" s="1" t="s">
        <v>240</v>
      </c>
      <c r="D65" s="1" t="s">
        <v>252</v>
      </c>
      <c r="E65" s="1" t="s">
        <v>8</v>
      </c>
      <c r="F65" s="3">
        <f>VLOOKUP(B65,[1]Sheet1!$C:$H,6,0)</f>
        <v>0</v>
      </c>
      <c r="G65" s="2" t="s">
        <v>256</v>
      </c>
    </row>
    <row r="66" spans="1:7" x14ac:dyDescent="0.45">
      <c r="A66" s="1" t="s">
        <v>5</v>
      </c>
      <c r="B66" s="1" t="s">
        <v>170</v>
      </c>
      <c r="C66" s="1" t="s">
        <v>240</v>
      </c>
      <c r="D66" s="1" t="s">
        <v>252</v>
      </c>
      <c r="E66" s="1" t="s">
        <v>8</v>
      </c>
      <c r="F66" s="3">
        <f>VLOOKUP(B66,[1]Sheet1!$C:$H,6,0)</f>
        <v>0</v>
      </c>
      <c r="G66" s="2" t="s">
        <v>256</v>
      </c>
    </row>
    <row r="67" spans="1:7" x14ac:dyDescent="0.45">
      <c r="A67" s="1" t="s">
        <v>5</v>
      </c>
      <c r="B67" s="1" t="s">
        <v>171</v>
      </c>
      <c r="C67" s="1" t="s">
        <v>240</v>
      </c>
      <c r="D67" s="1" t="s">
        <v>252</v>
      </c>
      <c r="E67" s="1" t="s">
        <v>8</v>
      </c>
      <c r="F67" s="3">
        <f>VLOOKUP(B67,[1]Sheet1!$C:$H,6,0)</f>
        <v>0</v>
      </c>
      <c r="G67" s="2" t="s">
        <v>256</v>
      </c>
    </row>
    <row r="68" spans="1:7" x14ac:dyDescent="0.45">
      <c r="A68" s="1" t="s">
        <v>5</v>
      </c>
      <c r="B68" s="1" t="s">
        <v>172</v>
      </c>
      <c r="C68" s="1" t="s">
        <v>240</v>
      </c>
      <c r="D68" s="1" t="s">
        <v>252</v>
      </c>
      <c r="E68" s="1" t="s">
        <v>8</v>
      </c>
      <c r="F68" s="3">
        <f>VLOOKUP(B68,[1]Sheet1!$C:$H,6,0)</f>
        <v>0</v>
      </c>
      <c r="G68" s="2" t="s">
        <v>256</v>
      </c>
    </row>
    <row r="69" spans="1:7" x14ac:dyDescent="0.45">
      <c r="A69" s="1" t="s">
        <v>5</v>
      </c>
      <c r="B69" s="1" t="s">
        <v>175</v>
      </c>
      <c r="C69" s="1" t="s">
        <v>247</v>
      </c>
      <c r="D69" s="1" t="s">
        <v>252</v>
      </c>
      <c r="E69" s="1" t="s">
        <v>8</v>
      </c>
      <c r="F69" s="3">
        <f>VLOOKUP(B69,[1]Sheet1!$C:$H,6,0)</f>
        <v>0</v>
      </c>
      <c r="G69" s="2" t="s">
        <v>256</v>
      </c>
    </row>
    <row r="70" spans="1:7" x14ac:dyDescent="0.45">
      <c r="A70" s="1" t="s">
        <v>5</v>
      </c>
      <c r="B70" s="1" t="s">
        <v>176</v>
      </c>
      <c r="C70" s="1" t="s">
        <v>247</v>
      </c>
      <c r="D70" s="1" t="s">
        <v>252</v>
      </c>
      <c r="E70" s="1" t="s">
        <v>8</v>
      </c>
      <c r="F70" s="3">
        <f>VLOOKUP(B70,[1]Sheet1!$C:$H,6,0)</f>
        <v>25</v>
      </c>
      <c r="G70" s="2" t="s">
        <v>256</v>
      </c>
    </row>
    <row r="71" spans="1:7" x14ac:dyDescent="0.45">
      <c r="A71" s="1" t="s">
        <v>5</v>
      </c>
      <c r="B71" s="1" t="s">
        <v>177</v>
      </c>
      <c r="C71" s="1" t="s">
        <v>247</v>
      </c>
      <c r="D71" s="1" t="s">
        <v>252</v>
      </c>
      <c r="E71" s="1" t="s">
        <v>8</v>
      </c>
      <c r="F71" s="3">
        <f>VLOOKUP(B71,[1]Sheet1!$C:$H,6,0)</f>
        <v>25</v>
      </c>
      <c r="G71" s="2" t="s">
        <v>256</v>
      </c>
    </row>
    <row r="72" spans="1:7" x14ac:dyDescent="0.45">
      <c r="A72" s="1" t="s">
        <v>5</v>
      </c>
      <c r="B72" s="1" t="s">
        <v>178</v>
      </c>
      <c r="C72" s="1" t="s">
        <v>247</v>
      </c>
      <c r="D72" s="1" t="s">
        <v>252</v>
      </c>
      <c r="E72" s="1" t="s">
        <v>8</v>
      </c>
      <c r="F72" s="3">
        <f>VLOOKUP(B72,[1]Sheet1!$C:$H,6,0)</f>
        <v>25</v>
      </c>
      <c r="G72" s="2" t="s">
        <v>256</v>
      </c>
    </row>
    <row r="73" spans="1:7" x14ac:dyDescent="0.45">
      <c r="A73" s="1" t="s">
        <v>5</v>
      </c>
      <c r="B73" s="1" t="s">
        <v>179</v>
      </c>
      <c r="C73" s="1" t="s">
        <v>247</v>
      </c>
      <c r="D73" s="1" t="s">
        <v>252</v>
      </c>
      <c r="E73" s="1" t="s">
        <v>8</v>
      </c>
      <c r="F73" s="3">
        <f>VLOOKUP(B73,[1]Sheet1!$C:$H,6,0)</f>
        <v>25</v>
      </c>
      <c r="G73" s="2" t="s">
        <v>256</v>
      </c>
    </row>
    <row r="74" spans="1:7" x14ac:dyDescent="0.45">
      <c r="A74" s="1" t="s">
        <v>5</v>
      </c>
      <c r="B74" s="1" t="s">
        <v>180</v>
      </c>
      <c r="C74" s="1" t="s">
        <v>247</v>
      </c>
      <c r="D74" s="1" t="s">
        <v>252</v>
      </c>
      <c r="E74" s="1" t="s">
        <v>8</v>
      </c>
      <c r="F74" s="3">
        <f>VLOOKUP(B74,[1]Sheet1!$C:$H,6,0)</f>
        <v>25</v>
      </c>
      <c r="G74" s="2" t="s">
        <v>256</v>
      </c>
    </row>
    <row r="75" spans="1:7" x14ac:dyDescent="0.45">
      <c r="A75" s="1" t="s">
        <v>5</v>
      </c>
      <c r="B75" s="1" t="s">
        <v>181</v>
      </c>
      <c r="C75" s="1" t="s">
        <v>247</v>
      </c>
      <c r="D75" s="1" t="s">
        <v>252</v>
      </c>
      <c r="E75" s="1" t="s">
        <v>8</v>
      </c>
      <c r="F75" s="3">
        <f>VLOOKUP(B75,[1]Sheet1!$C:$H,6,0)</f>
        <v>25</v>
      </c>
      <c r="G75" s="2" t="s">
        <v>256</v>
      </c>
    </row>
    <row r="76" spans="1:7" x14ac:dyDescent="0.45">
      <c r="A76" s="1" t="s">
        <v>5</v>
      </c>
      <c r="B76" s="1" t="s">
        <v>182</v>
      </c>
      <c r="C76" s="1" t="s">
        <v>247</v>
      </c>
      <c r="D76" s="1" t="s">
        <v>252</v>
      </c>
      <c r="E76" s="1" t="s">
        <v>8</v>
      </c>
      <c r="F76" s="3">
        <f>VLOOKUP(B76,[1]Sheet1!$C:$H,6,0)</f>
        <v>53200</v>
      </c>
      <c r="G76" s="2" t="s">
        <v>256</v>
      </c>
    </row>
    <row r="77" spans="1:7" x14ac:dyDescent="0.45">
      <c r="A77" s="1" t="s">
        <v>5</v>
      </c>
      <c r="B77" s="1" t="s">
        <v>183</v>
      </c>
      <c r="C77" s="1" t="s">
        <v>247</v>
      </c>
      <c r="D77" s="1" t="s">
        <v>252</v>
      </c>
      <c r="E77" s="1" t="s">
        <v>8</v>
      </c>
      <c r="F77" s="3">
        <f>VLOOKUP(B77,[1]Sheet1!$C:$H,6,0)</f>
        <v>100</v>
      </c>
      <c r="G77" s="2" t="s">
        <v>256</v>
      </c>
    </row>
    <row r="78" spans="1:7" x14ac:dyDescent="0.45">
      <c r="A78" s="1" t="s">
        <v>5</v>
      </c>
      <c r="B78" s="1" t="s">
        <v>184</v>
      </c>
      <c r="C78" s="1" t="s">
        <v>247</v>
      </c>
      <c r="D78" s="1" t="s">
        <v>252</v>
      </c>
      <c r="E78" s="1" t="s">
        <v>8</v>
      </c>
      <c r="F78" s="3">
        <f>VLOOKUP(B78,[1]Sheet1!$C:$H,6,0)</f>
        <v>100</v>
      </c>
      <c r="G78" s="2" t="s">
        <v>256</v>
      </c>
    </row>
    <row r="79" spans="1:7" x14ac:dyDescent="0.45">
      <c r="A79" s="1" t="s">
        <v>5</v>
      </c>
      <c r="B79" s="1" t="s">
        <v>185</v>
      </c>
      <c r="C79" s="1" t="s">
        <v>247</v>
      </c>
      <c r="D79" s="1" t="s">
        <v>252</v>
      </c>
      <c r="E79" s="1" t="s">
        <v>8</v>
      </c>
      <c r="F79" s="3">
        <f>VLOOKUP(B79,[1]Sheet1!$C:$H,6,0)</f>
        <v>0</v>
      </c>
      <c r="G79" s="2" t="s">
        <v>256</v>
      </c>
    </row>
    <row r="80" spans="1:7" x14ac:dyDescent="0.45">
      <c r="A80" s="1" t="s">
        <v>5</v>
      </c>
      <c r="B80" s="1" t="s">
        <v>186</v>
      </c>
      <c r="C80" s="1" t="s">
        <v>247</v>
      </c>
      <c r="D80" s="1" t="s">
        <v>252</v>
      </c>
      <c r="E80" s="1" t="s">
        <v>8</v>
      </c>
      <c r="F80" s="3">
        <f>VLOOKUP(B80,[1]Sheet1!$C:$H,6,0)</f>
        <v>400</v>
      </c>
      <c r="G80" s="2" t="s">
        <v>256</v>
      </c>
    </row>
    <row r="81" spans="1:7" x14ac:dyDescent="0.45">
      <c r="A81" s="1" t="s">
        <v>5</v>
      </c>
      <c r="B81" s="1" t="s">
        <v>187</v>
      </c>
      <c r="C81" s="1" t="s">
        <v>247</v>
      </c>
      <c r="D81" s="1" t="s">
        <v>252</v>
      </c>
      <c r="E81" s="1" t="s">
        <v>8</v>
      </c>
      <c r="F81" s="3">
        <f>VLOOKUP(B81,[1]Sheet1!$C:$H,6,0)</f>
        <v>150</v>
      </c>
      <c r="G81" s="2" t="s">
        <v>256</v>
      </c>
    </row>
    <row r="82" spans="1:7" x14ac:dyDescent="0.45">
      <c r="A82" s="1" t="s">
        <v>5</v>
      </c>
      <c r="B82" s="1" t="s">
        <v>188</v>
      </c>
      <c r="C82" s="1" t="s">
        <v>247</v>
      </c>
      <c r="D82" s="1" t="s">
        <v>252</v>
      </c>
      <c r="E82" s="1" t="s">
        <v>8</v>
      </c>
      <c r="F82" s="3">
        <f>VLOOKUP(B82,[1]Sheet1!$C:$H,6,0)</f>
        <v>50</v>
      </c>
      <c r="G82" s="2" t="s">
        <v>256</v>
      </c>
    </row>
    <row r="83" spans="1:7" x14ac:dyDescent="0.45">
      <c r="A83" s="1" t="s">
        <v>5</v>
      </c>
      <c r="B83" s="1" t="s">
        <v>189</v>
      </c>
      <c r="C83" s="1" t="s">
        <v>247</v>
      </c>
      <c r="D83" s="1" t="s">
        <v>252</v>
      </c>
      <c r="E83" s="1" t="s">
        <v>8</v>
      </c>
      <c r="F83" s="3">
        <f>VLOOKUP(B83,[1]Sheet1!$C:$H,6,0)</f>
        <v>25</v>
      </c>
      <c r="G83" s="2" t="s">
        <v>256</v>
      </c>
    </row>
    <row r="84" spans="1:7" x14ac:dyDescent="0.45">
      <c r="A84" s="1" t="s">
        <v>5</v>
      </c>
      <c r="B84" s="1" t="s">
        <v>190</v>
      </c>
      <c r="C84" s="1" t="s">
        <v>247</v>
      </c>
      <c r="D84" s="1" t="s">
        <v>252</v>
      </c>
      <c r="E84" s="1" t="s">
        <v>8</v>
      </c>
      <c r="F84" s="3">
        <f>VLOOKUP(B84,[1]Sheet1!$C:$H,6,0)</f>
        <v>25</v>
      </c>
      <c r="G84" s="2" t="s">
        <v>256</v>
      </c>
    </row>
    <row r="85" spans="1:7" x14ac:dyDescent="0.45">
      <c r="A85" s="1" t="s">
        <v>5</v>
      </c>
      <c r="B85" s="1" t="s">
        <v>191</v>
      </c>
      <c r="C85" s="1" t="s">
        <v>247</v>
      </c>
      <c r="D85" s="1" t="s">
        <v>252</v>
      </c>
      <c r="E85" s="1" t="s">
        <v>8</v>
      </c>
      <c r="F85" s="3">
        <f>VLOOKUP(B85,[1]Sheet1!$C:$H,6,0)</f>
        <v>25</v>
      </c>
      <c r="G85" s="2" t="s">
        <v>256</v>
      </c>
    </row>
    <row r="86" spans="1:7" x14ac:dyDescent="0.45">
      <c r="A86" s="1" t="s">
        <v>5</v>
      </c>
      <c r="B86" s="1" t="s">
        <v>192</v>
      </c>
      <c r="C86" s="1" t="s">
        <v>247</v>
      </c>
      <c r="D86" s="1" t="s">
        <v>252</v>
      </c>
      <c r="E86" s="1" t="s">
        <v>8</v>
      </c>
      <c r="F86" s="3">
        <f>VLOOKUP(B86,[1]Sheet1!$C:$H,6,0)</f>
        <v>19000</v>
      </c>
      <c r="G86" s="2" t="s">
        <v>256</v>
      </c>
    </row>
    <row r="87" spans="1:7" x14ac:dyDescent="0.45">
      <c r="A87" s="1" t="s">
        <v>5</v>
      </c>
      <c r="B87" s="1" t="s">
        <v>193</v>
      </c>
      <c r="C87" s="1" t="s">
        <v>247</v>
      </c>
      <c r="D87" s="1" t="s">
        <v>252</v>
      </c>
      <c r="E87" s="1" t="s">
        <v>8</v>
      </c>
      <c r="F87" s="3">
        <f>VLOOKUP(B87,[1]Sheet1!$C:$H,6,0)</f>
        <v>100</v>
      </c>
      <c r="G87" s="2" t="s">
        <v>256</v>
      </c>
    </row>
    <row r="88" spans="1:7" x14ac:dyDescent="0.45">
      <c r="A88" s="1" t="s">
        <v>5</v>
      </c>
      <c r="B88" s="1" t="s">
        <v>194</v>
      </c>
      <c r="C88" s="1" t="s">
        <v>247</v>
      </c>
      <c r="D88" s="1" t="s">
        <v>252</v>
      </c>
      <c r="E88" s="1" t="s">
        <v>8</v>
      </c>
      <c r="F88" s="3">
        <f>VLOOKUP(B88,[1]Sheet1!$C:$H,6,0)</f>
        <v>175</v>
      </c>
      <c r="G88" s="2" t="s">
        <v>256</v>
      </c>
    </row>
    <row r="89" spans="1:7" x14ac:dyDescent="0.45">
      <c r="A89" s="1" t="s">
        <v>5</v>
      </c>
      <c r="B89" s="1" t="s">
        <v>195</v>
      </c>
      <c r="C89" s="1" t="s">
        <v>247</v>
      </c>
      <c r="D89" s="1" t="s">
        <v>252</v>
      </c>
      <c r="E89" s="1" t="s">
        <v>8</v>
      </c>
      <c r="F89" s="3">
        <f>VLOOKUP(B89,[1]Sheet1!$C:$H,6,0)</f>
        <v>200</v>
      </c>
      <c r="G89" s="2" t="s">
        <v>256</v>
      </c>
    </row>
    <row r="90" spans="1:7" x14ac:dyDescent="0.45">
      <c r="A90" s="1" t="s">
        <v>5</v>
      </c>
      <c r="B90" s="1" t="s">
        <v>196</v>
      </c>
      <c r="C90" s="1" t="s">
        <v>247</v>
      </c>
      <c r="D90" s="1" t="s">
        <v>252</v>
      </c>
      <c r="E90" s="1" t="s">
        <v>8</v>
      </c>
      <c r="F90" s="3">
        <f>VLOOKUP(B90,[1]Sheet1!$C:$H,6,0)</f>
        <v>200</v>
      </c>
      <c r="G90" s="2" t="s">
        <v>256</v>
      </c>
    </row>
    <row r="91" spans="1:7" x14ac:dyDescent="0.45">
      <c r="A91" s="1" t="s">
        <v>5</v>
      </c>
      <c r="B91" s="1" t="s">
        <v>216</v>
      </c>
      <c r="C91" s="1" t="s">
        <v>245</v>
      </c>
      <c r="D91" s="1" t="s">
        <v>252</v>
      </c>
      <c r="E91" s="1" t="s">
        <v>8</v>
      </c>
      <c r="F91" s="3">
        <f>VLOOKUP(B91,[1]Sheet1!$C:$H,6,0)</f>
        <v>0</v>
      </c>
      <c r="G91" s="2" t="s">
        <v>256</v>
      </c>
    </row>
    <row r="92" spans="1:7" x14ac:dyDescent="0.45">
      <c r="A92" s="1" t="s">
        <v>5</v>
      </c>
      <c r="B92" s="1" t="s">
        <v>218</v>
      </c>
      <c r="C92" s="1" t="s">
        <v>240</v>
      </c>
      <c r="D92" s="1" t="s">
        <v>252</v>
      </c>
      <c r="E92" s="1" t="s">
        <v>8</v>
      </c>
      <c r="F92" s="3">
        <f>VLOOKUP(B92,[1]Sheet1!$C:$H,6,0)</f>
        <v>200</v>
      </c>
      <c r="G92" s="2" t="s">
        <v>256</v>
      </c>
    </row>
    <row r="93" spans="1:7" x14ac:dyDescent="0.45">
      <c r="A93" s="1" t="s">
        <v>5</v>
      </c>
      <c r="B93" s="1" t="s">
        <v>9</v>
      </c>
      <c r="C93" s="1" t="s">
        <v>227</v>
      </c>
      <c r="D93" s="1" t="s">
        <v>7</v>
      </c>
      <c r="E93" s="1" t="s">
        <v>8</v>
      </c>
      <c r="F93" s="3">
        <f>VLOOKUP(B93,[1]Sheet1!$C:$H,6,0)</f>
        <v>5</v>
      </c>
      <c r="G93" s="2" t="s">
        <v>255</v>
      </c>
    </row>
    <row r="94" spans="1:7" x14ac:dyDescent="0.45">
      <c r="A94" s="1" t="s">
        <v>5</v>
      </c>
      <c r="B94" s="1" t="s">
        <v>10</v>
      </c>
      <c r="C94" s="1" t="s">
        <v>6</v>
      </c>
      <c r="D94" s="1" t="s">
        <v>7</v>
      </c>
      <c r="E94" s="1" t="s">
        <v>8</v>
      </c>
      <c r="F94" s="3">
        <f>VLOOKUP(B94,[1]Sheet1!$C:$H,6,0)</f>
        <v>60</v>
      </c>
      <c r="G94" s="2" t="s">
        <v>255</v>
      </c>
    </row>
    <row r="95" spans="1:7" x14ac:dyDescent="0.45">
      <c r="A95" s="1" t="s">
        <v>5</v>
      </c>
      <c r="B95" s="1" t="s">
        <v>11</v>
      </c>
      <c r="C95" s="1" t="s">
        <v>228</v>
      </c>
      <c r="D95" s="1" t="s">
        <v>7</v>
      </c>
      <c r="E95" s="1" t="s">
        <v>8</v>
      </c>
      <c r="F95" s="3">
        <f>VLOOKUP(B95,[1]Sheet1!$C:$H,6,0)</f>
        <v>8</v>
      </c>
      <c r="G95" s="2" t="s">
        <v>255</v>
      </c>
    </row>
    <row r="96" spans="1:7" x14ac:dyDescent="0.45">
      <c r="A96" s="1" t="s">
        <v>5</v>
      </c>
      <c r="B96" s="1" t="s">
        <v>12</v>
      </c>
      <c r="C96" s="1" t="s">
        <v>229</v>
      </c>
      <c r="D96" s="1" t="s">
        <v>7</v>
      </c>
      <c r="E96" s="1" t="s">
        <v>8</v>
      </c>
      <c r="F96" s="3">
        <f>VLOOKUP(B96,[1]Sheet1!$C:$H,6,0)</f>
        <v>1</v>
      </c>
      <c r="G96" s="2" t="s">
        <v>255</v>
      </c>
    </row>
    <row r="97" spans="1:7" x14ac:dyDescent="0.45">
      <c r="A97" s="1" t="s">
        <v>5</v>
      </c>
      <c r="B97" s="1" t="s">
        <v>13</v>
      </c>
      <c r="C97" s="1" t="s">
        <v>6</v>
      </c>
      <c r="D97" s="1" t="s">
        <v>7</v>
      </c>
      <c r="E97" s="1" t="s">
        <v>8</v>
      </c>
      <c r="F97" s="3">
        <f>VLOOKUP(B97,[1]Sheet1!$C:$H,6,0)</f>
        <v>52</v>
      </c>
      <c r="G97" s="2" t="s">
        <v>255</v>
      </c>
    </row>
    <row r="98" spans="1:7" x14ac:dyDescent="0.45">
      <c r="A98" s="1" t="s">
        <v>5</v>
      </c>
      <c r="B98" s="1" t="s">
        <v>39</v>
      </c>
      <c r="C98" s="1" t="s">
        <v>235</v>
      </c>
      <c r="D98" s="1" t="s">
        <v>251</v>
      </c>
      <c r="E98" s="1" t="s">
        <v>8</v>
      </c>
      <c r="F98" s="3">
        <f>VLOOKUP(B98,[1]Sheet1!$C:$H,6,0)</f>
        <v>106</v>
      </c>
      <c r="G98" s="2" t="s">
        <v>255</v>
      </c>
    </row>
    <row r="99" spans="1:7" x14ac:dyDescent="0.45">
      <c r="A99" s="1" t="s">
        <v>5</v>
      </c>
      <c r="B99" s="1" t="s">
        <v>40</v>
      </c>
      <c r="C99" s="1" t="s">
        <v>227</v>
      </c>
      <c r="D99" s="1" t="s">
        <v>251</v>
      </c>
      <c r="E99" s="1" t="s">
        <v>8</v>
      </c>
      <c r="F99" s="3">
        <f>VLOOKUP(B99,[1]Sheet1!$C:$H,6,0)</f>
        <v>100</v>
      </c>
      <c r="G99" s="2" t="s">
        <v>255</v>
      </c>
    </row>
    <row r="100" spans="1:7" x14ac:dyDescent="0.45">
      <c r="A100" s="1" t="s">
        <v>5</v>
      </c>
      <c r="B100" s="1" t="s">
        <v>41</v>
      </c>
      <c r="C100" s="1" t="s">
        <v>236</v>
      </c>
      <c r="D100" s="1" t="s">
        <v>251</v>
      </c>
      <c r="E100" s="1" t="s">
        <v>8</v>
      </c>
      <c r="F100" s="3">
        <f>VLOOKUP(B100,[1]Sheet1!$C:$H,6,0)</f>
        <v>2250</v>
      </c>
      <c r="G100" s="2" t="s">
        <v>255</v>
      </c>
    </row>
    <row r="101" spans="1:7" x14ac:dyDescent="0.45">
      <c r="A101" s="1" t="s">
        <v>5</v>
      </c>
      <c r="B101" s="1" t="s">
        <v>42</v>
      </c>
      <c r="C101" s="1" t="s">
        <v>237</v>
      </c>
      <c r="D101" s="1" t="s">
        <v>251</v>
      </c>
      <c r="E101" s="1" t="s">
        <v>8</v>
      </c>
      <c r="F101" s="3">
        <f>VLOOKUP(B101,[1]Sheet1!$C:$H,6,0)</f>
        <v>40</v>
      </c>
      <c r="G101" s="2" t="s">
        <v>255</v>
      </c>
    </row>
    <row r="102" spans="1:7" x14ac:dyDescent="0.45">
      <c r="A102" s="1" t="s">
        <v>5</v>
      </c>
      <c r="B102" s="1" t="s">
        <v>43</v>
      </c>
      <c r="C102" s="1" t="s">
        <v>237</v>
      </c>
      <c r="D102" s="1" t="s">
        <v>251</v>
      </c>
      <c r="E102" s="1" t="s">
        <v>8</v>
      </c>
      <c r="F102" s="3">
        <f>VLOOKUP(B102,[1]Sheet1!$C:$H,6,0)</f>
        <v>12000</v>
      </c>
      <c r="G102" s="2" t="s">
        <v>255</v>
      </c>
    </row>
    <row r="103" spans="1:7" x14ac:dyDescent="0.45">
      <c r="A103" s="1" t="s">
        <v>5</v>
      </c>
      <c r="B103" s="1" t="s">
        <v>44</v>
      </c>
      <c r="C103" s="1" t="s">
        <v>237</v>
      </c>
      <c r="D103" s="1" t="s">
        <v>251</v>
      </c>
      <c r="E103" s="1" t="s">
        <v>8</v>
      </c>
      <c r="F103" s="3">
        <f>VLOOKUP(B103,[1]Sheet1!$C:$H,6,0)</f>
        <v>12000</v>
      </c>
      <c r="G103" s="2" t="s">
        <v>255</v>
      </c>
    </row>
    <row r="104" spans="1:7" x14ac:dyDescent="0.45">
      <c r="A104" s="1" t="s">
        <v>5</v>
      </c>
      <c r="B104" s="1" t="s">
        <v>45</v>
      </c>
      <c r="C104" s="1" t="s">
        <v>237</v>
      </c>
      <c r="D104" s="1" t="s">
        <v>251</v>
      </c>
      <c r="E104" s="1" t="s">
        <v>8</v>
      </c>
      <c r="F104" s="3">
        <f>VLOOKUP(B104,[1]Sheet1!$C:$H,6,0)</f>
        <v>5222</v>
      </c>
      <c r="G104" s="2" t="s">
        <v>255</v>
      </c>
    </row>
    <row r="105" spans="1:7" x14ac:dyDescent="0.45">
      <c r="A105" s="1" t="s">
        <v>5</v>
      </c>
      <c r="B105" s="1" t="s">
        <v>46</v>
      </c>
      <c r="C105" s="1" t="s">
        <v>237</v>
      </c>
      <c r="D105" s="1" t="s">
        <v>251</v>
      </c>
      <c r="E105" s="1" t="s">
        <v>8</v>
      </c>
      <c r="F105" s="3">
        <f>VLOOKUP(B105,[1]Sheet1!$C:$H,6,0)</f>
        <v>5222</v>
      </c>
      <c r="G105" s="2" t="s">
        <v>255</v>
      </c>
    </row>
    <row r="106" spans="1:7" x14ac:dyDescent="0.45">
      <c r="A106" s="1" t="s">
        <v>5</v>
      </c>
      <c r="B106" s="1" t="s">
        <v>47</v>
      </c>
      <c r="C106" s="1" t="s">
        <v>237</v>
      </c>
      <c r="D106" s="1" t="s">
        <v>251</v>
      </c>
      <c r="E106" s="1" t="s">
        <v>8</v>
      </c>
      <c r="F106" s="3">
        <f>VLOOKUP(B106,[1]Sheet1!$C:$H,6,0)</f>
        <v>10444</v>
      </c>
      <c r="G106" s="2" t="s">
        <v>255</v>
      </c>
    </row>
    <row r="107" spans="1:7" x14ac:dyDescent="0.45">
      <c r="A107" s="1" t="s">
        <v>5</v>
      </c>
      <c r="B107" s="1" t="s">
        <v>48</v>
      </c>
      <c r="C107" s="1" t="s">
        <v>237</v>
      </c>
      <c r="D107" s="1" t="s">
        <v>251</v>
      </c>
      <c r="E107" s="1" t="s">
        <v>8</v>
      </c>
      <c r="F107" s="3">
        <f>VLOOKUP(B107,[1]Sheet1!$C:$H,6,0)</f>
        <v>20888</v>
      </c>
      <c r="G107" s="2" t="s">
        <v>255</v>
      </c>
    </row>
    <row r="108" spans="1:7" x14ac:dyDescent="0.45">
      <c r="A108" s="1" t="s">
        <v>5</v>
      </c>
      <c r="B108" s="1" t="s">
        <v>49</v>
      </c>
      <c r="C108" s="1" t="s">
        <v>237</v>
      </c>
      <c r="D108" s="1" t="s">
        <v>251</v>
      </c>
      <c r="E108" s="1" t="s">
        <v>8</v>
      </c>
      <c r="F108" s="3">
        <f>VLOOKUP(B108,[1]Sheet1!$C:$H,6,0)</f>
        <v>2747</v>
      </c>
      <c r="G108" s="2" t="s">
        <v>255</v>
      </c>
    </row>
    <row r="109" spans="1:7" x14ac:dyDescent="0.45">
      <c r="A109" s="1" t="s">
        <v>5</v>
      </c>
      <c r="B109" s="1" t="s">
        <v>50</v>
      </c>
      <c r="C109" s="1" t="s">
        <v>230</v>
      </c>
      <c r="D109" s="1" t="s">
        <v>251</v>
      </c>
      <c r="E109" s="1" t="s">
        <v>8</v>
      </c>
      <c r="F109" s="3">
        <f>VLOOKUP(B109,[1]Sheet1!$C:$H,6,0)</f>
        <v>61444</v>
      </c>
      <c r="G109" s="2" t="s">
        <v>255</v>
      </c>
    </row>
    <row r="110" spans="1:7" x14ac:dyDescent="0.45">
      <c r="A110" s="1" t="s">
        <v>5</v>
      </c>
      <c r="B110" s="1" t="s">
        <v>51</v>
      </c>
      <c r="C110" s="1" t="s">
        <v>230</v>
      </c>
      <c r="D110" s="1" t="s">
        <v>251</v>
      </c>
      <c r="E110" s="1" t="s">
        <v>8</v>
      </c>
      <c r="F110" s="3">
        <f>VLOOKUP(B110,[1]Sheet1!$C:$H,6,0)</f>
        <v>83150</v>
      </c>
      <c r="G110" s="2" t="s">
        <v>255</v>
      </c>
    </row>
    <row r="111" spans="1:7" x14ac:dyDescent="0.45">
      <c r="A111" s="1" t="s">
        <v>5</v>
      </c>
      <c r="B111" s="1" t="s">
        <v>52</v>
      </c>
      <c r="C111" s="1" t="s">
        <v>230</v>
      </c>
      <c r="D111" s="1" t="s">
        <v>251</v>
      </c>
      <c r="E111" s="1" t="s">
        <v>8</v>
      </c>
      <c r="F111" s="3">
        <f>VLOOKUP(B111,[1]Sheet1!$C:$H,6,0)</f>
        <v>45878</v>
      </c>
      <c r="G111" s="2" t="s">
        <v>255</v>
      </c>
    </row>
    <row r="112" spans="1:7" x14ac:dyDescent="0.45">
      <c r="A112" s="1" t="s">
        <v>5</v>
      </c>
      <c r="B112" s="1" t="s">
        <v>53</v>
      </c>
      <c r="C112" s="1" t="s">
        <v>238</v>
      </c>
      <c r="D112" s="1" t="s">
        <v>251</v>
      </c>
      <c r="E112" s="1" t="s">
        <v>8</v>
      </c>
      <c r="F112" s="3">
        <f>VLOOKUP(B112,[1]Sheet1!$C:$H,6,0)</f>
        <v>65000</v>
      </c>
      <c r="G112" s="2" t="s">
        <v>255</v>
      </c>
    </row>
    <row r="113" spans="1:7" x14ac:dyDescent="0.45">
      <c r="A113" s="1" t="s">
        <v>5</v>
      </c>
      <c r="B113" s="1" t="s">
        <v>54</v>
      </c>
      <c r="C113" s="1" t="s">
        <v>230</v>
      </c>
      <c r="D113" s="1" t="s">
        <v>251</v>
      </c>
      <c r="E113" s="1" t="s">
        <v>8</v>
      </c>
      <c r="F113" s="3">
        <f>VLOOKUP(B113,[1]Sheet1!$C:$H,6,0)</f>
        <v>65900</v>
      </c>
      <c r="G113" s="2" t="s">
        <v>255</v>
      </c>
    </row>
    <row r="114" spans="1:7" x14ac:dyDescent="0.45">
      <c r="A114" s="1" t="s">
        <v>5</v>
      </c>
      <c r="B114" s="1" t="s">
        <v>55</v>
      </c>
      <c r="C114" s="1" t="s">
        <v>237</v>
      </c>
      <c r="D114" s="1" t="s">
        <v>251</v>
      </c>
      <c r="E114" s="1" t="s">
        <v>8</v>
      </c>
      <c r="F114" s="3">
        <f>VLOOKUP(B114,[1]Sheet1!$C:$H,6,0)</f>
        <v>68909</v>
      </c>
      <c r="G114" s="2" t="s">
        <v>255</v>
      </c>
    </row>
    <row r="115" spans="1:7" x14ac:dyDescent="0.45">
      <c r="A115" s="1" t="s">
        <v>5</v>
      </c>
      <c r="B115" s="1" t="s">
        <v>56</v>
      </c>
      <c r="C115" s="1" t="s">
        <v>237</v>
      </c>
      <c r="D115" s="1" t="s">
        <v>251</v>
      </c>
      <c r="E115" s="1" t="s">
        <v>8</v>
      </c>
      <c r="F115" s="3">
        <f>VLOOKUP(B115,[1]Sheet1!$C:$H,6,0)</f>
        <v>140000</v>
      </c>
      <c r="G115" s="2" t="s">
        <v>255</v>
      </c>
    </row>
    <row r="116" spans="1:7" x14ac:dyDescent="0.45">
      <c r="A116" s="1" t="s">
        <v>5</v>
      </c>
      <c r="B116" s="1" t="s">
        <v>57</v>
      </c>
      <c r="C116" s="1" t="s">
        <v>237</v>
      </c>
      <c r="D116" s="1" t="s">
        <v>251</v>
      </c>
      <c r="E116" s="1" t="s">
        <v>8</v>
      </c>
      <c r="F116" s="3">
        <f>VLOOKUP(B116,[1]Sheet1!$C:$H,6,0)</f>
        <v>0</v>
      </c>
      <c r="G116" s="2" t="s">
        <v>255</v>
      </c>
    </row>
    <row r="117" spans="1:7" x14ac:dyDescent="0.45">
      <c r="A117" s="1" t="s">
        <v>5</v>
      </c>
      <c r="B117" s="1" t="s">
        <v>58</v>
      </c>
      <c r="C117" s="1" t="s">
        <v>237</v>
      </c>
      <c r="D117" s="1" t="s">
        <v>251</v>
      </c>
      <c r="E117" s="1" t="s">
        <v>8</v>
      </c>
      <c r="F117" s="3">
        <f>VLOOKUP(B117,[1]Sheet1!$C:$H,6,0)</f>
        <v>0</v>
      </c>
      <c r="G117" s="2" t="s">
        <v>255</v>
      </c>
    </row>
    <row r="118" spans="1:7" x14ac:dyDescent="0.45">
      <c r="A118" s="1" t="s">
        <v>5</v>
      </c>
      <c r="B118" s="1" t="s">
        <v>59</v>
      </c>
      <c r="C118" s="1" t="s">
        <v>237</v>
      </c>
      <c r="D118" s="1" t="s">
        <v>251</v>
      </c>
      <c r="E118" s="1" t="s">
        <v>8</v>
      </c>
      <c r="F118" s="3">
        <f>VLOOKUP(B118,[1]Sheet1!$C:$H,6,0)</f>
        <v>0</v>
      </c>
      <c r="G118" s="2" t="s">
        <v>255</v>
      </c>
    </row>
    <row r="119" spans="1:7" x14ac:dyDescent="0.45">
      <c r="A119" s="1" t="s">
        <v>5</v>
      </c>
      <c r="B119" s="1" t="s">
        <v>60</v>
      </c>
      <c r="C119" s="1" t="s">
        <v>237</v>
      </c>
      <c r="D119" s="1" t="s">
        <v>251</v>
      </c>
      <c r="E119" s="1" t="s">
        <v>8</v>
      </c>
      <c r="F119" s="3">
        <f>VLOOKUP(B119,[1]Sheet1!$C:$H,6,0)</f>
        <v>0</v>
      </c>
      <c r="G119" s="2" t="s">
        <v>255</v>
      </c>
    </row>
    <row r="120" spans="1:7" x14ac:dyDescent="0.45">
      <c r="A120" s="1" t="s">
        <v>5</v>
      </c>
      <c r="B120" s="1" t="s">
        <v>61</v>
      </c>
      <c r="C120" s="1" t="s">
        <v>239</v>
      </c>
      <c r="D120" s="1" t="s">
        <v>252</v>
      </c>
      <c r="E120" s="1" t="s">
        <v>8</v>
      </c>
      <c r="F120" s="3">
        <f>VLOOKUP(B120,[1]Sheet1!$C:$H,6,0)</f>
        <v>0</v>
      </c>
      <c r="G120" s="2" t="s">
        <v>255</v>
      </c>
    </row>
    <row r="121" spans="1:7" x14ac:dyDescent="0.45">
      <c r="A121" s="1" t="s">
        <v>5</v>
      </c>
      <c r="B121" s="1" t="s">
        <v>62</v>
      </c>
      <c r="C121" s="1" t="s">
        <v>239</v>
      </c>
      <c r="D121" s="1" t="s">
        <v>252</v>
      </c>
      <c r="E121" s="1" t="s">
        <v>8</v>
      </c>
      <c r="F121" s="3">
        <f>VLOOKUP(B121,[1]Sheet1!$C:$H,6,0)</f>
        <v>0</v>
      </c>
      <c r="G121" s="2" t="s">
        <v>255</v>
      </c>
    </row>
    <row r="122" spans="1:7" x14ac:dyDescent="0.45">
      <c r="A122" s="1" t="s">
        <v>5</v>
      </c>
      <c r="B122" s="1" t="s">
        <v>65</v>
      </c>
      <c r="C122" s="1" t="s">
        <v>227</v>
      </c>
      <c r="D122" s="1" t="s">
        <v>252</v>
      </c>
      <c r="E122" s="1" t="s">
        <v>8</v>
      </c>
      <c r="F122" s="3">
        <f>VLOOKUP(B122,[1]Sheet1!$C:$H,6,0)</f>
        <v>240</v>
      </c>
      <c r="G122" s="2" t="s">
        <v>255</v>
      </c>
    </row>
    <row r="123" spans="1:7" x14ac:dyDescent="0.45">
      <c r="A123" s="1" t="s">
        <v>5</v>
      </c>
      <c r="B123" s="1" t="s">
        <v>66</v>
      </c>
      <c r="C123" s="1" t="s">
        <v>241</v>
      </c>
      <c r="D123" s="1" t="s">
        <v>252</v>
      </c>
      <c r="E123" s="1" t="s">
        <v>8</v>
      </c>
      <c r="F123" s="3">
        <f>VLOOKUP(B123,[1]Sheet1!$C:$H,6,0)</f>
        <v>194</v>
      </c>
      <c r="G123" s="2" t="s">
        <v>255</v>
      </c>
    </row>
    <row r="124" spans="1:7" x14ac:dyDescent="0.45">
      <c r="A124" s="1" t="s">
        <v>5</v>
      </c>
      <c r="B124" s="1" t="s">
        <v>67</v>
      </c>
      <c r="C124" s="1" t="s">
        <v>242</v>
      </c>
      <c r="D124" s="1" t="s">
        <v>252</v>
      </c>
      <c r="E124" s="1" t="s">
        <v>8</v>
      </c>
      <c r="F124" s="3">
        <f>VLOOKUP(B124,[1]Sheet1!$C:$H,6,0)</f>
        <v>8</v>
      </c>
      <c r="G124" s="2" t="s">
        <v>255</v>
      </c>
    </row>
    <row r="125" spans="1:7" x14ac:dyDescent="0.45">
      <c r="A125" s="1" t="s">
        <v>5</v>
      </c>
      <c r="B125" s="1" t="s">
        <v>68</v>
      </c>
      <c r="C125" s="1" t="s">
        <v>242</v>
      </c>
      <c r="D125" s="1" t="s">
        <v>252</v>
      </c>
      <c r="E125" s="1" t="s">
        <v>8</v>
      </c>
      <c r="F125" s="3">
        <f>VLOOKUP(B125,[1]Sheet1!$C:$H,6,0)</f>
        <v>10</v>
      </c>
      <c r="G125" s="2" t="s">
        <v>255</v>
      </c>
    </row>
    <row r="126" spans="1:7" x14ac:dyDescent="0.45">
      <c r="A126" s="1" t="s">
        <v>5</v>
      </c>
      <c r="B126" s="1" t="s">
        <v>69</v>
      </c>
      <c r="C126" s="1" t="s">
        <v>243</v>
      </c>
      <c r="D126" s="1" t="s">
        <v>252</v>
      </c>
      <c r="E126" s="1" t="s">
        <v>8</v>
      </c>
      <c r="F126" s="3">
        <f>VLOOKUP(B126,[1]Sheet1!$C:$H,6,0)</f>
        <v>118</v>
      </c>
      <c r="G126" s="2" t="s">
        <v>255</v>
      </c>
    </row>
    <row r="127" spans="1:7" x14ac:dyDescent="0.45">
      <c r="A127" s="1" t="s">
        <v>5</v>
      </c>
      <c r="B127" s="1" t="s">
        <v>70</v>
      </c>
      <c r="C127" s="1" t="s">
        <v>243</v>
      </c>
      <c r="D127" s="1" t="s">
        <v>252</v>
      </c>
      <c r="E127" s="1" t="s">
        <v>8</v>
      </c>
      <c r="F127" s="3">
        <f>VLOOKUP(B127,[1]Sheet1!$C:$H,6,0)</f>
        <v>-18</v>
      </c>
      <c r="G127" s="2" t="s">
        <v>255</v>
      </c>
    </row>
    <row r="128" spans="1:7" x14ac:dyDescent="0.45">
      <c r="A128" s="1" t="s">
        <v>5</v>
      </c>
      <c r="B128" s="1" t="s">
        <v>71</v>
      </c>
      <c r="C128" s="1" t="s">
        <v>243</v>
      </c>
      <c r="D128" s="1" t="s">
        <v>252</v>
      </c>
      <c r="E128" s="1" t="s">
        <v>8</v>
      </c>
      <c r="F128" s="3">
        <f>VLOOKUP(B128,[1]Sheet1!$C:$H,6,0)</f>
        <v>1000</v>
      </c>
      <c r="G128" s="2" t="s">
        <v>255</v>
      </c>
    </row>
    <row r="129" spans="1:7" x14ac:dyDescent="0.45">
      <c r="A129" s="1" t="s">
        <v>5</v>
      </c>
      <c r="B129" s="1" t="s">
        <v>72</v>
      </c>
      <c r="C129" s="1" t="s">
        <v>239</v>
      </c>
      <c r="D129" s="1" t="s">
        <v>252</v>
      </c>
      <c r="E129" s="1" t="s">
        <v>8</v>
      </c>
      <c r="F129" s="3">
        <f>VLOOKUP(B129,[1]Sheet1!$C:$H,6,0)</f>
        <v>2</v>
      </c>
      <c r="G129" s="2" t="s">
        <v>255</v>
      </c>
    </row>
    <row r="130" spans="1:7" x14ac:dyDescent="0.45">
      <c r="A130" s="1" t="s">
        <v>5</v>
      </c>
      <c r="B130" s="1" t="s">
        <v>73</v>
      </c>
      <c r="C130" s="1" t="s">
        <v>244</v>
      </c>
      <c r="D130" s="1" t="s">
        <v>252</v>
      </c>
      <c r="E130" s="1" t="s">
        <v>8</v>
      </c>
      <c r="F130" s="3">
        <f>VLOOKUP(B130,[1]Sheet1!$C:$H,6,0)</f>
        <v>76</v>
      </c>
      <c r="G130" s="2" t="s">
        <v>255</v>
      </c>
    </row>
    <row r="131" spans="1:7" x14ac:dyDescent="0.45">
      <c r="A131" s="1" t="s">
        <v>5</v>
      </c>
      <c r="B131" s="1" t="s">
        <v>74</v>
      </c>
      <c r="C131" s="1" t="s">
        <v>244</v>
      </c>
      <c r="D131" s="1" t="s">
        <v>252</v>
      </c>
      <c r="E131" s="1" t="s">
        <v>8</v>
      </c>
      <c r="F131" s="3">
        <f>VLOOKUP(B131,[1]Sheet1!$C:$H,6,0)</f>
        <v>85</v>
      </c>
      <c r="G131" s="2" t="s">
        <v>255</v>
      </c>
    </row>
    <row r="132" spans="1:7" x14ac:dyDescent="0.45">
      <c r="A132" s="1" t="s">
        <v>5</v>
      </c>
      <c r="B132" s="1" t="s">
        <v>75</v>
      </c>
      <c r="C132" s="1" t="s">
        <v>244</v>
      </c>
      <c r="D132" s="1" t="s">
        <v>252</v>
      </c>
      <c r="E132" s="1" t="s">
        <v>8</v>
      </c>
      <c r="F132" s="3">
        <f>VLOOKUP(B132,[1]Sheet1!$C:$H,6,0)</f>
        <v>36695</v>
      </c>
      <c r="G132" s="2" t="s">
        <v>255</v>
      </c>
    </row>
    <row r="133" spans="1:7" x14ac:dyDescent="0.45">
      <c r="A133" s="1" t="s">
        <v>5</v>
      </c>
      <c r="B133" s="1" t="s">
        <v>76</v>
      </c>
      <c r="C133" s="1" t="s">
        <v>234</v>
      </c>
      <c r="D133" s="1" t="s">
        <v>252</v>
      </c>
      <c r="E133" s="1" t="s">
        <v>8</v>
      </c>
      <c r="F133" s="3">
        <f>VLOOKUP(B133,[1]Sheet1!$C:$H,6,0)</f>
        <v>23</v>
      </c>
      <c r="G133" s="2" t="s">
        <v>255</v>
      </c>
    </row>
    <row r="134" spans="1:7" x14ac:dyDescent="0.45">
      <c r="A134" s="1" t="s">
        <v>5</v>
      </c>
      <c r="B134" s="1" t="s">
        <v>77</v>
      </c>
      <c r="C134" s="1" t="s">
        <v>234</v>
      </c>
      <c r="D134" s="1" t="s">
        <v>252</v>
      </c>
      <c r="E134" s="1" t="s">
        <v>8</v>
      </c>
      <c r="F134" s="3">
        <f>VLOOKUP(B134,[1]Sheet1!$C:$H,6,0)</f>
        <v>39</v>
      </c>
      <c r="G134" s="2" t="s">
        <v>255</v>
      </c>
    </row>
    <row r="135" spans="1:7" x14ac:dyDescent="0.45">
      <c r="A135" s="1" t="s">
        <v>5</v>
      </c>
      <c r="B135" s="1" t="s">
        <v>78</v>
      </c>
      <c r="C135" s="1" t="s">
        <v>234</v>
      </c>
      <c r="D135" s="1" t="s">
        <v>252</v>
      </c>
      <c r="E135" s="1" t="s">
        <v>8</v>
      </c>
      <c r="F135" s="3">
        <f>VLOOKUP(B135,[1]Sheet1!$C:$H,6,0)</f>
        <v>51</v>
      </c>
      <c r="G135" s="2" t="s">
        <v>255</v>
      </c>
    </row>
    <row r="136" spans="1:7" x14ac:dyDescent="0.45">
      <c r="A136" s="1" t="s">
        <v>5</v>
      </c>
      <c r="B136" s="1" t="s">
        <v>79</v>
      </c>
      <c r="C136" s="1" t="s">
        <v>234</v>
      </c>
      <c r="D136" s="1" t="s">
        <v>252</v>
      </c>
      <c r="E136" s="1" t="s">
        <v>8</v>
      </c>
      <c r="F136" s="3">
        <f>VLOOKUP(B136,[1]Sheet1!$C:$H,6,0)</f>
        <v>38.5</v>
      </c>
      <c r="G136" s="2" t="s">
        <v>255</v>
      </c>
    </row>
    <row r="137" spans="1:7" x14ac:dyDescent="0.45">
      <c r="A137" s="1" t="s">
        <v>5</v>
      </c>
      <c r="B137" s="1" t="s">
        <v>80</v>
      </c>
      <c r="C137" s="1" t="s">
        <v>227</v>
      </c>
      <c r="D137" s="1" t="s">
        <v>252</v>
      </c>
      <c r="E137" s="1" t="s">
        <v>8</v>
      </c>
      <c r="F137" s="3">
        <f>VLOOKUP(B137,[1]Sheet1!$C:$H,6,0)</f>
        <v>376.3</v>
      </c>
      <c r="G137" s="2" t="s">
        <v>255</v>
      </c>
    </row>
    <row r="138" spans="1:7" x14ac:dyDescent="0.45">
      <c r="A138" s="1" t="s">
        <v>5</v>
      </c>
      <c r="B138" s="1" t="s">
        <v>81</v>
      </c>
      <c r="C138" s="1" t="s">
        <v>234</v>
      </c>
      <c r="D138" s="1" t="s">
        <v>252</v>
      </c>
      <c r="E138" s="1" t="s">
        <v>8</v>
      </c>
      <c r="F138" s="3">
        <f>VLOOKUP(B138,[1]Sheet1!$C:$H,6,0)</f>
        <v>420</v>
      </c>
      <c r="G138" s="2" t="s">
        <v>255</v>
      </c>
    </row>
    <row r="139" spans="1:7" x14ac:dyDescent="0.45">
      <c r="A139" s="1" t="s">
        <v>5</v>
      </c>
      <c r="B139" s="1" t="s">
        <v>82</v>
      </c>
      <c r="C139" s="1" t="s">
        <v>242</v>
      </c>
      <c r="D139" s="1" t="s">
        <v>252</v>
      </c>
      <c r="E139" s="1" t="s">
        <v>8</v>
      </c>
      <c r="F139" s="3">
        <f>VLOOKUP(B139,[1]Sheet1!$C:$H,6,0)</f>
        <v>10</v>
      </c>
      <c r="G139" s="2" t="s">
        <v>255</v>
      </c>
    </row>
    <row r="140" spans="1:7" x14ac:dyDescent="0.45">
      <c r="A140" s="1" t="s">
        <v>5</v>
      </c>
      <c r="B140" s="1" t="s">
        <v>83</v>
      </c>
      <c r="C140" s="1" t="s">
        <v>227</v>
      </c>
      <c r="D140" s="1" t="s">
        <v>252</v>
      </c>
      <c r="E140" s="1" t="s">
        <v>8</v>
      </c>
      <c r="F140" s="3">
        <f>VLOOKUP(B140,[1]Sheet1!$C:$H,6,0)</f>
        <v>115</v>
      </c>
      <c r="G140" s="2" t="s">
        <v>255</v>
      </c>
    </row>
    <row r="141" spans="1:7" x14ac:dyDescent="0.45">
      <c r="A141" s="1" t="s">
        <v>5</v>
      </c>
      <c r="B141" s="1" t="s">
        <v>84</v>
      </c>
      <c r="C141" s="1" t="s">
        <v>227</v>
      </c>
      <c r="D141" s="1" t="s">
        <v>252</v>
      </c>
      <c r="E141" s="1" t="s">
        <v>8</v>
      </c>
      <c r="F141" s="3">
        <f>VLOOKUP(B141,[1]Sheet1!$C:$H,6,0)</f>
        <v>163</v>
      </c>
      <c r="G141" s="2" t="s">
        <v>255</v>
      </c>
    </row>
    <row r="142" spans="1:7" x14ac:dyDescent="0.45">
      <c r="A142" s="1" t="s">
        <v>5</v>
      </c>
      <c r="B142" s="1" t="s">
        <v>91</v>
      </c>
      <c r="C142" s="1" t="s">
        <v>227</v>
      </c>
      <c r="D142" s="1" t="s">
        <v>252</v>
      </c>
      <c r="E142" s="1" t="s">
        <v>8</v>
      </c>
      <c r="F142" s="3">
        <f>VLOOKUP(B142,[1]Sheet1!$C:$H,6,0)</f>
        <v>1300</v>
      </c>
      <c r="G142" s="2" t="s">
        <v>255</v>
      </c>
    </row>
    <row r="143" spans="1:7" x14ac:dyDescent="0.45">
      <c r="A143" s="1" t="s">
        <v>5</v>
      </c>
      <c r="B143" s="1" t="s">
        <v>92</v>
      </c>
      <c r="C143" s="1" t="s">
        <v>227</v>
      </c>
      <c r="D143" s="1" t="s">
        <v>252</v>
      </c>
      <c r="E143" s="1" t="s">
        <v>8</v>
      </c>
      <c r="F143" s="3">
        <f>VLOOKUP(B143,[1]Sheet1!$C:$H,6,0)</f>
        <v>616</v>
      </c>
      <c r="G143" s="2" t="s">
        <v>255</v>
      </c>
    </row>
    <row r="144" spans="1:7" x14ac:dyDescent="0.45">
      <c r="A144" s="1" t="s">
        <v>5</v>
      </c>
      <c r="B144" s="1" t="s">
        <v>93</v>
      </c>
      <c r="C144" s="1" t="s">
        <v>227</v>
      </c>
      <c r="D144" s="1" t="s">
        <v>252</v>
      </c>
      <c r="E144" s="1" t="s">
        <v>8</v>
      </c>
      <c r="F144" s="3">
        <f>VLOOKUP(B144,[1]Sheet1!$C:$H,6,0)</f>
        <v>35</v>
      </c>
      <c r="G144" s="2" t="s">
        <v>255</v>
      </c>
    </row>
    <row r="145" spans="1:7" x14ac:dyDescent="0.45">
      <c r="A145" s="1" t="s">
        <v>5</v>
      </c>
      <c r="B145" s="1" t="s">
        <v>94</v>
      </c>
      <c r="C145" s="1" t="s">
        <v>227</v>
      </c>
      <c r="D145" s="1" t="s">
        <v>252</v>
      </c>
      <c r="E145" s="1" t="s">
        <v>8</v>
      </c>
      <c r="F145" s="3">
        <f>VLOOKUP(B145,[1]Sheet1!$C:$H,6,0)</f>
        <v>-1894</v>
      </c>
      <c r="G145" s="2" t="s">
        <v>255</v>
      </c>
    </row>
    <row r="146" spans="1:7" x14ac:dyDescent="0.45">
      <c r="A146" s="1" t="s">
        <v>5</v>
      </c>
      <c r="B146" s="1" t="s">
        <v>95</v>
      </c>
      <c r="C146" s="1" t="s">
        <v>227</v>
      </c>
      <c r="D146" s="1" t="s">
        <v>252</v>
      </c>
      <c r="E146" s="1" t="s">
        <v>8</v>
      </c>
      <c r="F146" s="3">
        <f>VLOOKUP(B146,[1]Sheet1!$C:$H,6,0)</f>
        <v>32700</v>
      </c>
      <c r="G146" s="2" t="s">
        <v>255</v>
      </c>
    </row>
    <row r="147" spans="1:7" x14ac:dyDescent="0.45">
      <c r="A147" s="1" t="s">
        <v>5</v>
      </c>
      <c r="B147" s="1" t="s">
        <v>96</v>
      </c>
      <c r="C147" s="1" t="s">
        <v>236</v>
      </c>
      <c r="D147" s="1" t="s">
        <v>252</v>
      </c>
      <c r="E147" s="1" t="s">
        <v>8</v>
      </c>
      <c r="F147" s="3">
        <f>VLOOKUP(B147,[1]Sheet1!$C:$H,6,0)</f>
        <v>175.53299999999999</v>
      </c>
      <c r="G147" s="2" t="s">
        <v>255</v>
      </c>
    </row>
    <row r="148" spans="1:7" x14ac:dyDescent="0.45">
      <c r="A148" s="1" t="s">
        <v>5</v>
      </c>
      <c r="B148" s="1" t="s">
        <v>97</v>
      </c>
      <c r="C148" s="1" t="s">
        <v>241</v>
      </c>
      <c r="D148" s="1" t="s">
        <v>252</v>
      </c>
      <c r="E148" s="1" t="s">
        <v>8</v>
      </c>
      <c r="F148" s="3">
        <f>VLOOKUP(B148,[1]Sheet1!$C:$H,6,0)</f>
        <v>100</v>
      </c>
      <c r="G148" s="2" t="s">
        <v>255</v>
      </c>
    </row>
    <row r="149" spans="1:7" x14ac:dyDescent="0.45">
      <c r="A149" s="1" t="s">
        <v>5</v>
      </c>
      <c r="B149" s="1" t="s">
        <v>98</v>
      </c>
      <c r="C149" s="1" t="s">
        <v>241</v>
      </c>
      <c r="D149" s="1" t="s">
        <v>252</v>
      </c>
      <c r="E149" s="1" t="s">
        <v>8</v>
      </c>
      <c r="F149" s="3">
        <f>VLOOKUP(B149,[1]Sheet1!$C:$H,6,0)</f>
        <v>260</v>
      </c>
      <c r="G149" s="2" t="s">
        <v>255</v>
      </c>
    </row>
    <row r="150" spans="1:7" x14ac:dyDescent="0.45">
      <c r="A150" s="1" t="s">
        <v>5</v>
      </c>
      <c r="B150" s="1" t="s">
        <v>99</v>
      </c>
      <c r="C150" s="1" t="s">
        <v>239</v>
      </c>
      <c r="D150" s="1" t="s">
        <v>252</v>
      </c>
      <c r="E150" s="1" t="s">
        <v>8</v>
      </c>
      <c r="F150" s="3">
        <f>VLOOKUP(B150,[1]Sheet1!$C:$H,6,0)</f>
        <v>1.8439999999999372</v>
      </c>
      <c r="G150" s="2" t="s">
        <v>255</v>
      </c>
    </row>
    <row r="151" spans="1:7" x14ac:dyDescent="0.45">
      <c r="A151" s="1" t="s">
        <v>5</v>
      </c>
      <c r="B151" s="1" t="s">
        <v>100</v>
      </c>
      <c r="C151" s="1" t="s">
        <v>239</v>
      </c>
      <c r="D151" s="1" t="s">
        <v>252</v>
      </c>
      <c r="E151" s="1" t="s">
        <v>8</v>
      </c>
      <c r="F151" s="3">
        <f>VLOOKUP(B151,[1]Sheet1!$C:$H,6,0)</f>
        <v>158.52000000000001</v>
      </c>
      <c r="G151" s="2" t="s">
        <v>255</v>
      </c>
    </row>
    <row r="152" spans="1:7" x14ac:dyDescent="0.45">
      <c r="A152" s="1" t="s">
        <v>5</v>
      </c>
      <c r="B152" s="1" t="s">
        <v>101</v>
      </c>
      <c r="C152" s="1" t="s">
        <v>239</v>
      </c>
      <c r="D152" s="1" t="s">
        <v>252</v>
      </c>
      <c r="E152" s="1" t="s">
        <v>8</v>
      </c>
      <c r="F152" s="3">
        <f>VLOOKUP(B152,[1]Sheet1!$C:$H,6,0)</f>
        <v>213.39800000000002</v>
      </c>
      <c r="G152" s="2" t="s">
        <v>255</v>
      </c>
    </row>
    <row r="153" spans="1:7" x14ac:dyDescent="0.45">
      <c r="A153" s="1" t="s">
        <v>5</v>
      </c>
      <c r="B153" s="1" t="s">
        <v>102</v>
      </c>
      <c r="C153" s="1" t="s">
        <v>242</v>
      </c>
      <c r="D153" s="1" t="s">
        <v>252</v>
      </c>
      <c r="E153" s="1" t="s">
        <v>8</v>
      </c>
      <c r="F153" s="3">
        <f>VLOOKUP(B153,[1]Sheet1!$C:$H,6,0)</f>
        <v>15805</v>
      </c>
      <c r="G153" s="2" t="s">
        <v>255</v>
      </c>
    </row>
    <row r="154" spans="1:7" x14ac:dyDescent="0.45">
      <c r="A154" s="1" t="s">
        <v>5</v>
      </c>
      <c r="B154" s="1" t="s">
        <v>103</v>
      </c>
      <c r="C154" s="1" t="s">
        <v>227</v>
      </c>
      <c r="D154" s="1" t="s">
        <v>252</v>
      </c>
      <c r="E154" s="1" t="s">
        <v>8</v>
      </c>
      <c r="F154" s="3">
        <f>VLOOKUP(B154,[1]Sheet1!$C:$H,6,0)</f>
        <v>5300</v>
      </c>
      <c r="G154" s="2" t="s">
        <v>255</v>
      </c>
    </row>
    <row r="155" spans="1:7" x14ac:dyDescent="0.45">
      <c r="A155" s="1" t="s">
        <v>5</v>
      </c>
      <c r="B155" s="1" t="s">
        <v>104</v>
      </c>
      <c r="C155" s="1" t="s">
        <v>227</v>
      </c>
      <c r="D155" s="1" t="s">
        <v>252</v>
      </c>
      <c r="E155" s="1" t="s">
        <v>8</v>
      </c>
      <c r="F155" s="3">
        <f>VLOOKUP(B155,[1]Sheet1!$C:$H,6,0)</f>
        <v>401.45</v>
      </c>
      <c r="G155" s="2" t="s">
        <v>255</v>
      </c>
    </row>
    <row r="156" spans="1:7" x14ac:dyDescent="0.45">
      <c r="A156" s="1" t="s">
        <v>5</v>
      </c>
      <c r="B156" s="1" t="s">
        <v>105</v>
      </c>
      <c r="C156" s="1" t="s">
        <v>239</v>
      </c>
      <c r="D156" s="1" t="s">
        <v>252</v>
      </c>
      <c r="E156" s="1" t="s">
        <v>8</v>
      </c>
      <c r="F156" s="3">
        <f>VLOOKUP(B156,[1]Sheet1!$C:$H,6,0)</f>
        <v>-290.89999999999964</v>
      </c>
      <c r="G156" s="2" t="s">
        <v>255</v>
      </c>
    </row>
    <row r="157" spans="1:7" x14ac:dyDescent="0.45">
      <c r="A157" s="1" t="s">
        <v>5</v>
      </c>
      <c r="B157" s="1" t="s">
        <v>106</v>
      </c>
      <c r="C157" s="1" t="s">
        <v>239</v>
      </c>
      <c r="D157" s="1" t="s">
        <v>252</v>
      </c>
      <c r="E157" s="1" t="s">
        <v>8</v>
      </c>
      <c r="F157" s="3">
        <f>VLOOKUP(B157,[1]Sheet1!$C:$H,6,0)</f>
        <v>-2.0000000000006679E-3</v>
      </c>
      <c r="G157" s="2" t="s">
        <v>255</v>
      </c>
    </row>
    <row r="158" spans="1:7" x14ac:dyDescent="0.45">
      <c r="A158" s="1" t="s">
        <v>5</v>
      </c>
      <c r="B158" s="1" t="s">
        <v>107</v>
      </c>
      <c r="C158" s="1" t="s">
        <v>239</v>
      </c>
      <c r="D158" s="1" t="s">
        <v>252</v>
      </c>
      <c r="E158" s="1" t="s">
        <v>8</v>
      </c>
      <c r="F158" s="3">
        <f>VLOOKUP(B158,[1]Sheet1!$C:$H,6,0)</f>
        <v>36.795999999999992</v>
      </c>
      <c r="G158" s="2" t="s">
        <v>255</v>
      </c>
    </row>
    <row r="159" spans="1:7" x14ac:dyDescent="0.45">
      <c r="A159" s="1" t="s">
        <v>5</v>
      </c>
      <c r="B159" s="1" t="s">
        <v>108</v>
      </c>
      <c r="C159" s="1" t="s">
        <v>236</v>
      </c>
      <c r="D159" s="1" t="s">
        <v>252</v>
      </c>
      <c r="E159" s="1" t="s">
        <v>8</v>
      </c>
      <c r="F159" s="3">
        <f>VLOOKUP(B159,[1]Sheet1!$C:$H,6,0)</f>
        <v>22000</v>
      </c>
      <c r="G159" s="2" t="s">
        <v>255</v>
      </c>
    </row>
    <row r="160" spans="1:7" x14ac:dyDescent="0.45">
      <c r="A160" s="1" t="s">
        <v>5</v>
      </c>
      <c r="B160" s="1" t="s">
        <v>109</v>
      </c>
      <c r="C160" s="1" t="s">
        <v>241</v>
      </c>
      <c r="D160" s="1" t="s">
        <v>252</v>
      </c>
      <c r="E160" s="1" t="s">
        <v>8</v>
      </c>
      <c r="F160" s="3">
        <f>VLOOKUP(B160,[1]Sheet1!$C:$H,6,0)</f>
        <v>3031</v>
      </c>
      <c r="G160" s="2" t="s">
        <v>255</v>
      </c>
    </row>
    <row r="161" spans="1:7" x14ac:dyDescent="0.45">
      <c r="A161" s="1" t="s">
        <v>5</v>
      </c>
      <c r="B161" s="1" t="s">
        <v>110</v>
      </c>
      <c r="C161" s="1" t="s">
        <v>241</v>
      </c>
      <c r="D161" s="1" t="s">
        <v>252</v>
      </c>
      <c r="E161" s="1" t="s">
        <v>8</v>
      </c>
      <c r="F161" s="3">
        <f>VLOOKUP(B161,[1]Sheet1!$C:$H,6,0)</f>
        <v>230</v>
      </c>
      <c r="G161" s="2" t="s">
        <v>255</v>
      </c>
    </row>
    <row r="162" spans="1:7" x14ac:dyDescent="0.45">
      <c r="A162" s="1" t="s">
        <v>5</v>
      </c>
      <c r="B162" s="1" t="s">
        <v>111</v>
      </c>
      <c r="C162" s="1" t="s">
        <v>241</v>
      </c>
      <c r="D162" s="1" t="s">
        <v>252</v>
      </c>
      <c r="E162" s="1" t="s">
        <v>8</v>
      </c>
      <c r="F162" s="3">
        <f>VLOOKUP(B162,[1]Sheet1!$C:$H,6,0)</f>
        <v>617</v>
      </c>
      <c r="G162" s="2" t="s">
        <v>255</v>
      </c>
    </row>
    <row r="163" spans="1:7" x14ac:dyDescent="0.45">
      <c r="A163" s="1" t="s">
        <v>5</v>
      </c>
      <c r="B163" s="1" t="s">
        <v>112</v>
      </c>
      <c r="C163" s="1" t="s">
        <v>241</v>
      </c>
      <c r="D163" s="1" t="s">
        <v>252</v>
      </c>
      <c r="E163" s="1" t="s">
        <v>8</v>
      </c>
      <c r="F163" s="3">
        <f>VLOOKUP(B163,[1]Sheet1!$C:$H,6,0)</f>
        <v>75</v>
      </c>
      <c r="G163" s="2" t="s">
        <v>255</v>
      </c>
    </row>
    <row r="164" spans="1:7" x14ac:dyDescent="0.45">
      <c r="A164" s="1" t="s">
        <v>5</v>
      </c>
      <c r="B164" s="1" t="s">
        <v>115</v>
      </c>
      <c r="C164" s="1" t="s">
        <v>242</v>
      </c>
      <c r="D164" s="1" t="s">
        <v>252</v>
      </c>
      <c r="E164" s="1" t="s">
        <v>8</v>
      </c>
      <c r="F164" s="3">
        <f>VLOOKUP(B164,[1]Sheet1!$C:$H,6,0)</f>
        <v>-3851</v>
      </c>
      <c r="G164" s="2" t="s">
        <v>255</v>
      </c>
    </row>
    <row r="165" spans="1:7" x14ac:dyDescent="0.45">
      <c r="A165" s="1" t="s">
        <v>5</v>
      </c>
      <c r="B165" s="1" t="s">
        <v>116</v>
      </c>
      <c r="C165" s="1" t="s">
        <v>243</v>
      </c>
      <c r="D165" s="1" t="s">
        <v>252</v>
      </c>
      <c r="E165" s="1" t="s">
        <v>8</v>
      </c>
      <c r="F165" s="3">
        <f>VLOOKUP(B165,[1]Sheet1!$C:$H,6,0)</f>
        <v>11445</v>
      </c>
      <c r="G165" s="2" t="s">
        <v>255</v>
      </c>
    </row>
    <row r="166" spans="1:7" x14ac:dyDescent="0.45">
      <c r="A166" s="1" t="s">
        <v>5</v>
      </c>
      <c r="B166" s="1" t="s">
        <v>117</v>
      </c>
      <c r="C166" s="1" t="s">
        <v>227</v>
      </c>
      <c r="D166" s="1" t="s">
        <v>252</v>
      </c>
      <c r="E166" s="1" t="s">
        <v>8</v>
      </c>
      <c r="F166" s="3">
        <f>VLOOKUP(B166,[1]Sheet1!$C:$H,6,0)</f>
        <v>360</v>
      </c>
      <c r="G166" s="2" t="s">
        <v>255</v>
      </c>
    </row>
    <row r="167" spans="1:7" x14ac:dyDescent="0.45">
      <c r="A167" s="1" t="s">
        <v>5</v>
      </c>
      <c r="B167" s="1" t="s">
        <v>118</v>
      </c>
      <c r="C167" s="1" t="s">
        <v>242</v>
      </c>
      <c r="D167" s="1" t="s">
        <v>252</v>
      </c>
      <c r="E167" s="1" t="s">
        <v>8</v>
      </c>
      <c r="F167" s="3">
        <f>VLOOKUP(B167,[1]Sheet1!$C:$H,6,0)</f>
        <v>800</v>
      </c>
      <c r="G167" s="2" t="s">
        <v>255</v>
      </c>
    </row>
    <row r="168" spans="1:7" x14ac:dyDescent="0.45">
      <c r="A168" s="1" t="s">
        <v>5</v>
      </c>
      <c r="B168" s="1" t="s">
        <v>119</v>
      </c>
      <c r="C168" s="1" t="s">
        <v>227</v>
      </c>
      <c r="D168" s="1" t="s">
        <v>252</v>
      </c>
      <c r="E168" s="1" t="s">
        <v>8</v>
      </c>
      <c r="F168" s="3">
        <f>VLOOKUP(B168,[1]Sheet1!$C:$H,6,0)</f>
        <v>340</v>
      </c>
      <c r="G168" s="2" t="s">
        <v>255</v>
      </c>
    </row>
    <row r="169" spans="1:7" x14ac:dyDescent="0.45">
      <c r="A169" s="1" t="s">
        <v>5</v>
      </c>
      <c r="B169" s="1" t="s">
        <v>120</v>
      </c>
      <c r="C169" s="1" t="s">
        <v>227</v>
      </c>
      <c r="D169" s="1" t="s">
        <v>252</v>
      </c>
      <c r="E169" s="1" t="s">
        <v>8</v>
      </c>
      <c r="F169" s="3">
        <f>VLOOKUP(B169,[1]Sheet1!$C:$H,6,0)</f>
        <v>100</v>
      </c>
      <c r="G169" s="2" t="s">
        <v>255</v>
      </c>
    </row>
    <row r="170" spans="1:7" x14ac:dyDescent="0.45">
      <c r="A170" s="1" t="s">
        <v>5</v>
      </c>
      <c r="B170" s="1" t="s">
        <v>121</v>
      </c>
      <c r="C170" s="1" t="s">
        <v>236</v>
      </c>
      <c r="D170" s="1" t="s">
        <v>252</v>
      </c>
      <c r="E170" s="1" t="s">
        <v>8</v>
      </c>
      <c r="F170" s="3">
        <f>VLOOKUP(B170,[1]Sheet1!$C:$H,6,0)</f>
        <v>10</v>
      </c>
      <c r="G170" s="2" t="s">
        <v>255</v>
      </c>
    </row>
    <row r="171" spans="1:7" x14ac:dyDescent="0.45">
      <c r="A171" s="1" t="s">
        <v>5</v>
      </c>
      <c r="B171" s="1" t="s">
        <v>122</v>
      </c>
      <c r="C171" s="1" t="s">
        <v>242</v>
      </c>
      <c r="D171" s="1" t="s">
        <v>252</v>
      </c>
      <c r="E171" s="1" t="s">
        <v>8</v>
      </c>
      <c r="F171" s="3">
        <f>VLOOKUP(B171,[1]Sheet1!$C:$H,6,0)</f>
        <v>10</v>
      </c>
      <c r="G171" s="2" t="s">
        <v>255</v>
      </c>
    </row>
    <row r="172" spans="1:7" x14ac:dyDescent="0.45">
      <c r="A172" s="1" t="s">
        <v>5</v>
      </c>
      <c r="B172" s="1" t="s">
        <v>123</v>
      </c>
      <c r="C172" s="1" t="s">
        <v>242</v>
      </c>
      <c r="D172" s="1" t="s">
        <v>252</v>
      </c>
      <c r="E172" s="1" t="s">
        <v>8</v>
      </c>
      <c r="F172" s="3">
        <f>VLOOKUP(B172,[1]Sheet1!$C:$H,6,0)</f>
        <v>750</v>
      </c>
      <c r="G172" s="2" t="s">
        <v>255</v>
      </c>
    </row>
    <row r="173" spans="1:7" x14ac:dyDescent="0.45">
      <c r="A173" s="1" t="s">
        <v>5</v>
      </c>
      <c r="B173" s="1" t="s">
        <v>124</v>
      </c>
      <c r="C173" s="1" t="s">
        <v>242</v>
      </c>
      <c r="D173" s="1" t="s">
        <v>252</v>
      </c>
      <c r="E173" s="1" t="s">
        <v>8</v>
      </c>
      <c r="F173" s="3">
        <f>VLOOKUP(B173,[1]Sheet1!$C:$H,6,0)</f>
        <v>2596</v>
      </c>
      <c r="G173" s="2" t="s">
        <v>255</v>
      </c>
    </row>
    <row r="174" spans="1:7" x14ac:dyDescent="0.45">
      <c r="A174" s="1" t="s">
        <v>5</v>
      </c>
      <c r="B174" s="1" t="s">
        <v>125</v>
      </c>
      <c r="C174" s="1" t="s">
        <v>242</v>
      </c>
      <c r="D174" s="1" t="s">
        <v>252</v>
      </c>
      <c r="E174" s="1" t="s">
        <v>8</v>
      </c>
      <c r="F174" s="3">
        <f>VLOOKUP(B174,[1]Sheet1!$C:$H,6,0)</f>
        <v>0</v>
      </c>
      <c r="G174" s="2" t="s">
        <v>255</v>
      </c>
    </row>
    <row r="175" spans="1:7" x14ac:dyDescent="0.45">
      <c r="A175" s="1" t="s">
        <v>5</v>
      </c>
      <c r="B175" s="1" t="s">
        <v>126</v>
      </c>
      <c r="C175" s="1" t="s">
        <v>242</v>
      </c>
      <c r="D175" s="1" t="s">
        <v>252</v>
      </c>
      <c r="E175" s="1" t="s">
        <v>8</v>
      </c>
      <c r="F175" s="3">
        <f>VLOOKUP(B175,[1]Sheet1!$C:$H,6,0)</f>
        <v>112460</v>
      </c>
      <c r="G175" s="2" t="s">
        <v>255</v>
      </c>
    </row>
    <row r="176" spans="1:7" x14ac:dyDescent="0.45">
      <c r="A176" s="1" t="s">
        <v>5</v>
      </c>
      <c r="B176" s="1" t="s">
        <v>127</v>
      </c>
      <c r="C176" s="1" t="s">
        <v>241</v>
      </c>
      <c r="D176" s="1" t="s">
        <v>252</v>
      </c>
      <c r="E176" s="1" t="s">
        <v>8</v>
      </c>
      <c r="F176" s="3">
        <f>VLOOKUP(B176,[1]Sheet1!$C:$H,6,0)</f>
        <v>224</v>
      </c>
      <c r="G176" s="2" t="s">
        <v>255</v>
      </c>
    </row>
    <row r="177" spans="1:7" x14ac:dyDescent="0.45">
      <c r="A177" s="1" t="s">
        <v>5</v>
      </c>
      <c r="B177" s="1" t="s">
        <v>128</v>
      </c>
      <c r="C177" s="1" t="s">
        <v>241</v>
      </c>
      <c r="D177" s="1" t="s">
        <v>252</v>
      </c>
      <c r="E177" s="1" t="s">
        <v>8</v>
      </c>
      <c r="F177" s="3">
        <f>VLOOKUP(B177,[1]Sheet1!$C:$H,6,0)</f>
        <v>-2050</v>
      </c>
      <c r="G177" s="2" t="s">
        <v>255</v>
      </c>
    </row>
    <row r="178" spans="1:7" x14ac:dyDescent="0.45">
      <c r="A178" s="1" t="s">
        <v>5</v>
      </c>
      <c r="B178" s="1" t="s">
        <v>129</v>
      </c>
      <c r="C178" s="1" t="s">
        <v>241</v>
      </c>
      <c r="D178" s="1" t="s">
        <v>252</v>
      </c>
      <c r="E178" s="1" t="s">
        <v>8</v>
      </c>
      <c r="F178" s="3">
        <f>VLOOKUP(B178,[1]Sheet1!$C:$H,6,0)</f>
        <v>507</v>
      </c>
      <c r="G178" s="2" t="s">
        <v>255</v>
      </c>
    </row>
    <row r="179" spans="1:7" x14ac:dyDescent="0.45">
      <c r="A179" s="1" t="s">
        <v>5</v>
      </c>
      <c r="B179" s="1" t="s">
        <v>130</v>
      </c>
      <c r="C179" s="1" t="s">
        <v>241</v>
      </c>
      <c r="D179" s="1" t="s">
        <v>252</v>
      </c>
      <c r="E179" s="1" t="s">
        <v>8</v>
      </c>
      <c r="F179" s="3">
        <f>VLOOKUP(B179,[1]Sheet1!$C:$H,6,0)</f>
        <v>701</v>
      </c>
      <c r="G179" s="2" t="s">
        <v>255</v>
      </c>
    </row>
    <row r="180" spans="1:7" x14ac:dyDescent="0.45">
      <c r="A180" s="1" t="s">
        <v>5</v>
      </c>
      <c r="B180" s="1" t="s">
        <v>131</v>
      </c>
      <c r="C180" s="1" t="s">
        <v>241</v>
      </c>
      <c r="D180" s="1" t="s">
        <v>252</v>
      </c>
      <c r="E180" s="1" t="s">
        <v>8</v>
      </c>
      <c r="F180" s="3">
        <f>VLOOKUP(B180,[1]Sheet1!$C:$H,6,0)</f>
        <v>60</v>
      </c>
      <c r="G180" s="2" t="s">
        <v>255</v>
      </c>
    </row>
    <row r="181" spans="1:7" x14ac:dyDescent="0.45">
      <c r="A181" s="1" t="s">
        <v>5</v>
      </c>
      <c r="B181" s="1" t="s">
        <v>132</v>
      </c>
      <c r="C181" s="1" t="s">
        <v>241</v>
      </c>
      <c r="D181" s="1" t="s">
        <v>252</v>
      </c>
      <c r="E181" s="1" t="s">
        <v>8</v>
      </c>
      <c r="F181" s="3">
        <f>VLOOKUP(B181,[1]Sheet1!$C:$H,6,0)</f>
        <v>520</v>
      </c>
      <c r="G181" s="2" t="s">
        <v>255</v>
      </c>
    </row>
    <row r="182" spans="1:7" x14ac:dyDescent="0.45">
      <c r="A182" s="1" t="s">
        <v>5</v>
      </c>
      <c r="B182" s="1" t="s">
        <v>133</v>
      </c>
      <c r="C182" s="1" t="s">
        <v>227</v>
      </c>
      <c r="D182" s="1" t="s">
        <v>252</v>
      </c>
      <c r="E182" s="1" t="s">
        <v>8</v>
      </c>
      <c r="F182" s="3">
        <f>VLOOKUP(B182,[1]Sheet1!$C:$H,6,0)</f>
        <v>80</v>
      </c>
      <c r="G182" s="2" t="s">
        <v>255</v>
      </c>
    </row>
    <row r="183" spans="1:7" x14ac:dyDescent="0.45">
      <c r="A183" s="1" t="s">
        <v>5</v>
      </c>
      <c r="B183" s="1" t="s">
        <v>134</v>
      </c>
      <c r="C183" s="1" t="s">
        <v>227</v>
      </c>
      <c r="D183" s="1" t="s">
        <v>252</v>
      </c>
      <c r="E183" s="1" t="s">
        <v>8</v>
      </c>
      <c r="F183" s="3">
        <f>VLOOKUP(B183,[1]Sheet1!$C:$H,6,0)</f>
        <v>14912</v>
      </c>
      <c r="G183" s="2" t="s">
        <v>255</v>
      </c>
    </row>
    <row r="184" spans="1:7" x14ac:dyDescent="0.45">
      <c r="A184" s="1" t="s">
        <v>5</v>
      </c>
      <c r="B184" s="1" t="s">
        <v>135</v>
      </c>
      <c r="C184" s="1" t="s">
        <v>227</v>
      </c>
      <c r="D184" s="1" t="s">
        <v>252</v>
      </c>
      <c r="E184" s="1" t="s">
        <v>8</v>
      </c>
      <c r="F184" s="3">
        <f>VLOOKUP(B184,[1]Sheet1!$C:$H,6,0)</f>
        <v>41000</v>
      </c>
      <c r="G184" s="2" t="s">
        <v>255</v>
      </c>
    </row>
    <row r="185" spans="1:7" x14ac:dyDescent="0.45">
      <c r="A185" s="1" t="s">
        <v>5</v>
      </c>
      <c r="B185" s="1" t="s">
        <v>136</v>
      </c>
      <c r="C185" s="1" t="s">
        <v>227</v>
      </c>
      <c r="D185" s="1" t="s">
        <v>252</v>
      </c>
      <c r="E185" s="1" t="s">
        <v>8</v>
      </c>
      <c r="F185" s="3">
        <f>VLOOKUP(B185,[1]Sheet1!$C:$H,6,0)</f>
        <v>1228</v>
      </c>
      <c r="G185" s="2" t="s">
        <v>255</v>
      </c>
    </row>
    <row r="186" spans="1:7" x14ac:dyDescent="0.45">
      <c r="A186" s="1" t="s">
        <v>5</v>
      </c>
      <c r="B186" s="1" t="s">
        <v>137</v>
      </c>
      <c r="C186" s="1" t="s">
        <v>227</v>
      </c>
      <c r="D186" s="1" t="s">
        <v>252</v>
      </c>
      <c r="E186" s="1" t="s">
        <v>8</v>
      </c>
      <c r="F186" s="3">
        <f>VLOOKUP(B186,[1]Sheet1!$C:$H,6,0)</f>
        <v>8</v>
      </c>
      <c r="G186" s="2" t="s">
        <v>255</v>
      </c>
    </row>
    <row r="187" spans="1:7" x14ac:dyDescent="0.45">
      <c r="A187" s="1" t="s">
        <v>5</v>
      </c>
      <c r="B187" s="1" t="s">
        <v>138</v>
      </c>
      <c r="C187" s="1" t="s">
        <v>227</v>
      </c>
      <c r="D187" s="1" t="s">
        <v>252</v>
      </c>
      <c r="E187" s="1" t="s">
        <v>8</v>
      </c>
      <c r="F187" s="3">
        <f>VLOOKUP(B187,[1]Sheet1!$C:$H,6,0)</f>
        <v>110</v>
      </c>
      <c r="G187" s="2" t="s">
        <v>255</v>
      </c>
    </row>
    <row r="188" spans="1:7" x14ac:dyDescent="0.45">
      <c r="A188" s="1" t="s">
        <v>5</v>
      </c>
      <c r="B188" s="1" t="s">
        <v>139</v>
      </c>
      <c r="C188" s="1" t="s">
        <v>227</v>
      </c>
      <c r="D188" s="1" t="s">
        <v>252</v>
      </c>
      <c r="E188" s="1" t="s">
        <v>8</v>
      </c>
      <c r="F188" s="3">
        <f>VLOOKUP(B188,[1]Sheet1!$C:$H,6,0)</f>
        <v>37</v>
      </c>
      <c r="G188" s="2" t="s">
        <v>255</v>
      </c>
    </row>
    <row r="189" spans="1:7" x14ac:dyDescent="0.45">
      <c r="A189" s="1" t="s">
        <v>5</v>
      </c>
      <c r="B189" s="1" t="s">
        <v>140</v>
      </c>
      <c r="C189" s="1" t="s">
        <v>227</v>
      </c>
      <c r="D189" s="1" t="s">
        <v>252</v>
      </c>
      <c r="E189" s="1" t="s">
        <v>8</v>
      </c>
      <c r="F189" s="3">
        <f>VLOOKUP(B189,[1]Sheet1!$C:$H,6,0)</f>
        <v>30</v>
      </c>
      <c r="G189" s="2" t="s">
        <v>255</v>
      </c>
    </row>
    <row r="190" spans="1:7" x14ac:dyDescent="0.45">
      <c r="A190" s="1" t="s">
        <v>5</v>
      </c>
      <c r="B190" s="1" t="s">
        <v>173</v>
      </c>
      <c r="C190" s="1" t="s">
        <v>241</v>
      </c>
      <c r="D190" s="1" t="s">
        <v>252</v>
      </c>
      <c r="E190" s="1" t="s">
        <v>8</v>
      </c>
      <c r="F190" s="3">
        <f>VLOOKUP(B190,[1]Sheet1!$C:$H,6,0)</f>
        <v>933</v>
      </c>
      <c r="G190" s="2" t="s">
        <v>255</v>
      </c>
    </row>
    <row r="191" spans="1:7" x14ac:dyDescent="0.45">
      <c r="A191" s="1" t="s">
        <v>5</v>
      </c>
      <c r="B191" s="1" t="s">
        <v>174</v>
      </c>
      <c r="C191" s="1" t="s">
        <v>227</v>
      </c>
      <c r="D191" s="1" t="s">
        <v>252</v>
      </c>
      <c r="E191" s="1" t="s">
        <v>8</v>
      </c>
      <c r="F191" s="3">
        <f>VLOOKUP(B191,[1]Sheet1!$C:$H,6,0)</f>
        <v>35</v>
      </c>
      <c r="G191" s="2" t="s">
        <v>255</v>
      </c>
    </row>
    <row r="192" spans="1:7" x14ac:dyDescent="0.45">
      <c r="A192" s="1" t="s">
        <v>5</v>
      </c>
      <c r="B192" s="1" t="s">
        <v>197</v>
      </c>
      <c r="C192" s="1" t="s">
        <v>227</v>
      </c>
      <c r="D192" s="1" t="s">
        <v>252</v>
      </c>
      <c r="E192" s="1" t="s">
        <v>8</v>
      </c>
      <c r="F192" s="3">
        <f>VLOOKUP(B192,[1]Sheet1!$C:$H,6,0)</f>
        <v>2800</v>
      </c>
      <c r="G192" s="2" t="s">
        <v>255</v>
      </c>
    </row>
    <row r="193" spans="1:7" x14ac:dyDescent="0.45">
      <c r="A193" s="1" t="s">
        <v>5</v>
      </c>
      <c r="B193" s="1" t="s">
        <v>198</v>
      </c>
      <c r="C193" s="1" t="s">
        <v>248</v>
      </c>
      <c r="D193" s="1" t="s">
        <v>252</v>
      </c>
      <c r="E193" s="1" t="s">
        <v>8</v>
      </c>
      <c r="F193" s="3">
        <f>VLOOKUP(B193,[1]Sheet1!$C:$H,6,0)</f>
        <v>400</v>
      </c>
      <c r="G193" s="2" t="s">
        <v>255</v>
      </c>
    </row>
    <row r="194" spans="1:7" x14ac:dyDescent="0.45">
      <c r="A194" s="1" t="s">
        <v>5</v>
      </c>
      <c r="B194" s="1" t="s">
        <v>199</v>
      </c>
      <c r="C194" s="1" t="s">
        <v>248</v>
      </c>
      <c r="D194" s="1" t="s">
        <v>252</v>
      </c>
      <c r="E194" s="1" t="s">
        <v>8</v>
      </c>
      <c r="F194" s="3">
        <f>VLOOKUP(B194,[1]Sheet1!$C:$H,6,0)</f>
        <v>6573</v>
      </c>
      <c r="G194" s="2" t="s">
        <v>255</v>
      </c>
    </row>
    <row r="195" spans="1:7" x14ac:dyDescent="0.45">
      <c r="A195" s="1" t="s">
        <v>5</v>
      </c>
      <c r="B195" s="1" t="s">
        <v>200</v>
      </c>
      <c r="C195" s="1" t="s">
        <v>248</v>
      </c>
      <c r="D195" s="1" t="s">
        <v>252</v>
      </c>
      <c r="E195" s="1" t="s">
        <v>8</v>
      </c>
      <c r="F195" s="3">
        <f>VLOOKUP(B195,[1]Sheet1!$C:$H,6,0)</f>
        <v>14</v>
      </c>
      <c r="G195" s="2" t="s">
        <v>255</v>
      </c>
    </row>
    <row r="196" spans="1:7" x14ac:dyDescent="0.45">
      <c r="A196" s="1" t="s">
        <v>5</v>
      </c>
      <c r="B196" s="1" t="s">
        <v>201</v>
      </c>
      <c r="C196" s="1" t="s">
        <v>248</v>
      </c>
      <c r="D196" s="1" t="s">
        <v>252</v>
      </c>
      <c r="E196" s="1" t="s">
        <v>8</v>
      </c>
      <c r="F196" s="3">
        <f>VLOOKUP(B196,[1]Sheet1!$C:$H,6,0)</f>
        <v>65</v>
      </c>
      <c r="G196" s="2" t="s">
        <v>255</v>
      </c>
    </row>
    <row r="197" spans="1:7" x14ac:dyDescent="0.45">
      <c r="A197" s="1" t="s">
        <v>5</v>
      </c>
      <c r="B197" s="1" t="s">
        <v>202</v>
      </c>
      <c r="C197" s="1" t="s">
        <v>248</v>
      </c>
      <c r="D197" s="1" t="s">
        <v>252</v>
      </c>
      <c r="E197" s="1" t="s">
        <v>8</v>
      </c>
      <c r="F197" s="3">
        <f>VLOOKUP(B197,[1]Sheet1!$C:$H,6,0)</f>
        <v>20</v>
      </c>
      <c r="G197" s="2" t="s">
        <v>255</v>
      </c>
    </row>
    <row r="198" spans="1:7" x14ac:dyDescent="0.45">
      <c r="A198" s="1" t="s">
        <v>5</v>
      </c>
      <c r="B198" s="1" t="s">
        <v>203</v>
      </c>
      <c r="C198" s="1" t="s">
        <v>243</v>
      </c>
      <c r="D198" s="1" t="s">
        <v>252</v>
      </c>
      <c r="E198" s="1" t="s">
        <v>8</v>
      </c>
      <c r="F198" s="3">
        <f>VLOOKUP(B198,[1]Sheet1!$C:$H,6,0)</f>
        <v>9</v>
      </c>
      <c r="G198" s="2" t="s">
        <v>255</v>
      </c>
    </row>
    <row r="199" spans="1:7" x14ac:dyDescent="0.45">
      <c r="A199" s="1" t="s">
        <v>5</v>
      </c>
      <c r="B199" s="1" t="s">
        <v>204</v>
      </c>
      <c r="C199" s="1" t="s">
        <v>227</v>
      </c>
      <c r="D199" s="1" t="s">
        <v>252</v>
      </c>
      <c r="E199" s="1" t="s">
        <v>8</v>
      </c>
      <c r="F199" s="3">
        <f>VLOOKUP(B199,[1]Sheet1!$C:$H,6,0)</f>
        <v>1300</v>
      </c>
      <c r="G199" s="2" t="s">
        <v>255</v>
      </c>
    </row>
    <row r="200" spans="1:7" x14ac:dyDescent="0.45">
      <c r="A200" s="1" t="s">
        <v>5</v>
      </c>
      <c r="B200" s="1" t="s">
        <v>205</v>
      </c>
      <c r="C200" s="1" t="s">
        <v>238</v>
      </c>
      <c r="D200" s="1" t="s">
        <v>252</v>
      </c>
      <c r="E200" s="1" t="s">
        <v>8</v>
      </c>
      <c r="F200" s="3">
        <f>VLOOKUP(B200,[1]Sheet1!$C:$H,6,0)</f>
        <v>1235</v>
      </c>
      <c r="G200" s="2" t="s">
        <v>255</v>
      </c>
    </row>
    <row r="201" spans="1:7" x14ac:dyDescent="0.45">
      <c r="A201" s="1" t="s">
        <v>5</v>
      </c>
      <c r="B201" s="1" t="s">
        <v>206</v>
      </c>
      <c r="C201" s="1" t="s">
        <v>242</v>
      </c>
      <c r="D201" s="1" t="s">
        <v>252</v>
      </c>
      <c r="E201" s="1" t="s">
        <v>8</v>
      </c>
      <c r="F201" s="3">
        <f>VLOOKUP(B201,[1]Sheet1!$C:$H,6,0)</f>
        <v>468</v>
      </c>
      <c r="G201" s="2" t="s">
        <v>255</v>
      </c>
    </row>
    <row r="202" spans="1:7" x14ac:dyDescent="0.45">
      <c r="A202" s="1" t="s">
        <v>5</v>
      </c>
      <c r="B202" s="1" t="s">
        <v>207</v>
      </c>
      <c r="C202" s="1" t="s">
        <v>242</v>
      </c>
      <c r="D202" s="1" t="s">
        <v>252</v>
      </c>
      <c r="E202" s="1" t="s">
        <v>8</v>
      </c>
      <c r="F202" s="3">
        <f>VLOOKUP(B202,[1]Sheet1!$C:$H,6,0)</f>
        <v>500</v>
      </c>
      <c r="G202" s="2" t="s">
        <v>255</v>
      </c>
    </row>
    <row r="203" spans="1:7" x14ac:dyDescent="0.45">
      <c r="A203" s="1" t="s">
        <v>5</v>
      </c>
      <c r="B203" s="1" t="s">
        <v>208</v>
      </c>
      <c r="C203" s="1" t="s">
        <v>248</v>
      </c>
      <c r="D203" s="1" t="s">
        <v>252</v>
      </c>
      <c r="E203" s="1" t="s">
        <v>8</v>
      </c>
      <c r="F203" s="3">
        <f>VLOOKUP(B203,[1]Sheet1!$C:$H,6,0)</f>
        <v>17</v>
      </c>
      <c r="G203" s="2" t="s">
        <v>255</v>
      </c>
    </row>
    <row r="204" spans="1:7" x14ac:dyDescent="0.45">
      <c r="A204" s="1" t="s">
        <v>5</v>
      </c>
      <c r="B204" s="1" t="s">
        <v>209</v>
      </c>
      <c r="C204" s="1" t="s">
        <v>248</v>
      </c>
      <c r="D204" s="1" t="s">
        <v>252</v>
      </c>
      <c r="E204" s="1" t="s">
        <v>8</v>
      </c>
      <c r="F204" s="3">
        <f>VLOOKUP(B204,[1]Sheet1!$C:$H,6,0)</f>
        <v>5</v>
      </c>
      <c r="G204" s="2" t="s">
        <v>255</v>
      </c>
    </row>
    <row r="205" spans="1:7" x14ac:dyDescent="0.45">
      <c r="A205" s="1" t="s">
        <v>5</v>
      </c>
      <c r="B205" s="1" t="s">
        <v>210</v>
      </c>
      <c r="C205" s="1" t="s">
        <v>248</v>
      </c>
      <c r="D205" s="1" t="s">
        <v>252</v>
      </c>
      <c r="E205" s="1" t="s">
        <v>8</v>
      </c>
      <c r="F205" s="3">
        <f>VLOOKUP(B205,[1]Sheet1!$C:$H,6,0)</f>
        <v>10</v>
      </c>
      <c r="G205" s="2" t="s">
        <v>255</v>
      </c>
    </row>
    <row r="206" spans="1:7" x14ac:dyDescent="0.45">
      <c r="A206" s="1" t="s">
        <v>5</v>
      </c>
      <c r="B206" s="1" t="s">
        <v>211</v>
      </c>
      <c r="C206" s="1" t="s">
        <v>248</v>
      </c>
      <c r="D206" s="1" t="s">
        <v>252</v>
      </c>
      <c r="E206" s="1" t="s">
        <v>8</v>
      </c>
      <c r="F206" s="3">
        <f>VLOOKUP(B206,[1]Sheet1!$C:$H,6,0)</f>
        <v>2</v>
      </c>
      <c r="G206" s="2" t="s">
        <v>255</v>
      </c>
    </row>
    <row r="207" spans="1:7" x14ac:dyDescent="0.45">
      <c r="A207" s="1" t="s">
        <v>5</v>
      </c>
      <c r="B207" s="1" t="s">
        <v>212</v>
      </c>
      <c r="C207" s="1" t="s">
        <v>248</v>
      </c>
      <c r="D207" s="1" t="s">
        <v>252</v>
      </c>
      <c r="E207" s="1" t="s">
        <v>8</v>
      </c>
      <c r="F207" s="3">
        <f>VLOOKUP(B207,[1]Sheet1!$C:$H,6,0)</f>
        <v>1</v>
      </c>
      <c r="G207" s="2" t="s">
        <v>255</v>
      </c>
    </row>
    <row r="208" spans="1:7" x14ac:dyDescent="0.45">
      <c r="A208" s="1" t="s">
        <v>5</v>
      </c>
      <c r="B208" s="1" t="s">
        <v>213</v>
      </c>
      <c r="C208" s="1" t="s">
        <v>248</v>
      </c>
      <c r="D208" s="1" t="s">
        <v>252</v>
      </c>
      <c r="E208" s="1" t="s">
        <v>8</v>
      </c>
      <c r="F208" s="3">
        <f>VLOOKUP(B208,[1]Sheet1!$C:$H,6,0)</f>
        <v>1</v>
      </c>
      <c r="G208" s="2" t="s">
        <v>255</v>
      </c>
    </row>
    <row r="209" spans="1:7" x14ac:dyDescent="0.45">
      <c r="A209" s="1" t="s">
        <v>5</v>
      </c>
      <c r="B209" s="1" t="s">
        <v>214</v>
      </c>
      <c r="C209" s="1" t="s">
        <v>248</v>
      </c>
      <c r="D209" s="1" t="s">
        <v>252</v>
      </c>
      <c r="E209" s="1" t="s">
        <v>8</v>
      </c>
      <c r="F209" s="3">
        <f>VLOOKUP(B209,[1]Sheet1!$C:$H,6,0)</f>
        <v>13</v>
      </c>
      <c r="G209" s="2" t="s">
        <v>255</v>
      </c>
    </row>
    <row r="210" spans="1:7" x14ac:dyDescent="0.45">
      <c r="A210" s="1" t="s">
        <v>5</v>
      </c>
      <c r="B210" s="1" t="s">
        <v>215</v>
      </c>
      <c r="C210" s="1" t="s">
        <v>239</v>
      </c>
      <c r="D210" s="1" t="s">
        <v>252</v>
      </c>
      <c r="E210" s="1" t="s">
        <v>8</v>
      </c>
      <c r="F210" s="3">
        <f>VLOOKUP(B210,[1]Sheet1!$C:$H,6,0)</f>
        <v>141</v>
      </c>
      <c r="G210" s="2" t="s">
        <v>255</v>
      </c>
    </row>
    <row r="211" spans="1:7" x14ac:dyDescent="0.45">
      <c r="A211" s="1" t="s">
        <v>5</v>
      </c>
      <c r="B211" s="1" t="s">
        <v>217</v>
      </c>
      <c r="C211" s="1" t="s">
        <v>244</v>
      </c>
      <c r="D211" s="1" t="s">
        <v>252</v>
      </c>
      <c r="E211" s="1" t="s">
        <v>8</v>
      </c>
      <c r="F211" s="3">
        <f>VLOOKUP(B211,[1]Sheet1!$C:$H,6,0)</f>
        <v>230500</v>
      </c>
      <c r="G211" s="2" t="s">
        <v>255</v>
      </c>
    </row>
    <row r="212" spans="1:7" x14ac:dyDescent="0.45">
      <c r="A212" s="1" t="s">
        <v>5</v>
      </c>
      <c r="B212" s="1" t="s">
        <v>219</v>
      </c>
      <c r="C212" s="1" t="s">
        <v>239</v>
      </c>
      <c r="D212" s="1" t="s">
        <v>252</v>
      </c>
      <c r="E212" s="1" t="s">
        <v>8</v>
      </c>
      <c r="F212" s="3">
        <f>VLOOKUP(B212,[1]Sheet1!$C:$H,6,0)</f>
        <v>0</v>
      </c>
      <c r="G212" s="2" t="s">
        <v>255</v>
      </c>
    </row>
    <row r="213" spans="1:7" x14ac:dyDescent="0.45">
      <c r="A213" s="1" t="s">
        <v>5</v>
      </c>
      <c r="B213" s="1" t="s">
        <v>220</v>
      </c>
      <c r="C213" s="1" t="s">
        <v>239</v>
      </c>
      <c r="D213" s="1" t="s">
        <v>252</v>
      </c>
      <c r="E213" s="1" t="s">
        <v>8</v>
      </c>
      <c r="F213" s="3">
        <f>VLOOKUP(B213,[1]Sheet1!$C:$H,6,0)</f>
        <v>-747.6400000000001</v>
      </c>
      <c r="G213" s="2" t="s">
        <v>255</v>
      </c>
    </row>
    <row r="214" spans="1:7" x14ac:dyDescent="0.45">
      <c r="A214" s="1" t="s">
        <v>5</v>
      </c>
      <c r="B214" s="1" t="s">
        <v>221</v>
      </c>
      <c r="C214" s="1" t="s">
        <v>248</v>
      </c>
      <c r="D214" s="1" t="s">
        <v>252</v>
      </c>
      <c r="E214" s="1" t="s">
        <v>8</v>
      </c>
      <c r="F214" s="3">
        <f>VLOOKUP(B214,[1]Sheet1!$C:$H,6,0)</f>
        <v>0</v>
      </c>
      <c r="G214" s="2" t="s">
        <v>255</v>
      </c>
    </row>
    <row r="215" spans="1:7" x14ac:dyDescent="0.45">
      <c r="A215" s="1" t="s">
        <v>5</v>
      </c>
      <c r="B215" s="1" t="s">
        <v>222</v>
      </c>
      <c r="C215" s="1" t="s">
        <v>242</v>
      </c>
      <c r="D215" s="1" t="s">
        <v>252</v>
      </c>
      <c r="E215" s="1" t="s">
        <v>8</v>
      </c>
      <c r="F215" s="3">
        <f>VLOOKUP(B215,[1]Sheet1!$C:$H,6,0)</f>
        <v>800</v>
      </c>
      <c r="G215" s="2" t="s">
        <v>255</v>
      </c>
    </row>
    <row r="216" spans="1:7" x14ac:dyDescent="0.45">
      <c r="A216" s="1" t="s">
        <v>5</v>
      </c>
      <c r="B216" s="1" t="s">
        <v>223</v>
      </c>
      <c r="C216" s="1" t="s">
        <v>242</v>
      </c>
      <c r="D216" s="1" t="s">
        <v>252</v>
      </c>
      <c r="E216" s="1" t="s">
        <v>8</v>
      </c>
      <c r="F216" s="3">
        <f>VLOOKUP(B216,[1]Sheet1!$C:$H,6,0)</f>
        <v>3100</v>
      </c>
      <c r="G216" s="2" t="s">
        <v>255</v>
      </c>
    </row>
    <row r="217" spans="1:7" x14ac:dyDescent="0.45">
      <c r="A217" s="1" t="s">
        <v>5</v>
      </c>
      <c r="B217" s="1" t="s">
        <v>224</v>
      </c>
      <c r="C217" s="1" t="s">
        <v>249</v>
      </c>
      <c r="D217" s="1" t="s">
        <v>253</v>
      </c>
      <c r="E217" s="1" t="s">
        <v>8</v>
      </c>
      <c r="F217" s="3">
        <f>VLOOKUP(B217,[1]Sheet1!$C:$H,6,0)</f>
        <v>17</v>
      </c>
      <c r="G217" s="2" t="s">
        <v>255</v>
      </c>
    </row>
    <row r="218" spans="1:7" x14ac:dyDescent="0.45">
      <c r="A218" s="1" t="s">
        <v>5</v>
      </c>
      <c r="B218" s="1" t="s">
        <v>225</v>
      </c>
      <c r="C218" s="1" t="s">
        <v>249</v>
      </c>
      <c r="D218" s="1" t="s">
        <v>253</v>
      </c>
      <c r="E218" s="1" t="s">
        <v>8</v>
      </c>
      <c r="F218" s="3">
        <f>VLOOKUP(B218,[1]Sheet1!$C:$H,6,0)</f>
        <v>17.8</v>
      </c>
      <c r="G218" s="2" t="s">
        <v>255</v>
      </c>
    </row>
    <row r="219" spans="1:7" x14ac:dyDescent="0.45">
      <c r="A219" s="1" t="s">
        <v>5</v>
      </c>
      <c r="B219" s="1" t="s">
        <v>226</v>
      </c>
      <c r="C219" s="1" t="s">
        <v>249</v>
      </c>
      <c r="D219" s="1" t="s">
        <v>253</v>
      </c>
      <c r="E219" s="1" t="s">
        <v>8</v>
      </c>
      <c r="F219" s="3">
        <f>VLOOKUP(B219,[1]Sheet1!$C:$H,6,0)</f>
        <v>96571</v>
      </c>
      <c r="G219" s="2" t="s">
        <v>255</v>
      </c>
    </row>
    <row r="220" spans="1:7" x14ac:dyDescent="0.45">
      <c r="G220" s="2"/>
    </row>
    <row r="221" spans="1:7" x14ac:dyDescent="0.45">
      <c r="G221" s="2"/>
    </row>
    <row r="222" spans="1:7" x14ac:dyDescent="0.45">
      <c r="G222" s="2"/>
    </row>
    <row r="223" spans="1:7" x14ac:dyDescent="0.45">
      <c r="G223" s="2"/>
    </row>
    <row r="224" spans="1:7" x14ac:dyDescent="0.45">
      <c r="G224" s="2"/>
    </row>
    <row r="225" spans="7:7" x14ac:dyDescent="0.45">
      <c r="G225" s="2"/>
    </row>
    <row r="226" spans="7:7" x14ac:dyDescent="0.45">
      <c r="G226" s="2"/>
    </row>
    <row r="227" spans="7:7" x14ac:dyDescent="0.45">
      <c r="G227" s="2"/>
    </row>
    <row r="228" spans="7:7" x14ac:dyDescent="0.45">
      <c r="G228" s="2"/>
    </row>
    <row r="229" spans="7:7" x14ac:dyDescent="0.45">
      <c r="G229" s="2"/>
    </row>
    <row r="230" spans="7:7" x14ac:dyDescent="0.45">
      <c r="G230" s="2"/>
    </row>
    <row r="231" spans="7:7" x14ac:dyDescent="0.45">
      <c r="G231" s="2"/>
    </row>
    <row r="232" spans="7:7" x14ac:dyDescent="0.45">
      <c r="G232" s="2"/>
    </row>
    <row r="233" spans="7:7" x14ac:dyDescent="0.45">
      <c r="G233" s="2"/>
    </row>
    <row r="234" spans="7:7" x14ac:dyDescent="0.45">
      <c r="G234" s="2"/>
    </row>
    <row r="235" spans="7:7" x14ac:dyDescent="0.45">
      <c r="G235" s="2"/>
    </row>
    <row r="236" spans="7:7" x14ac:dyDescent="0.45">
      <c r="G236" s="2"/>
    </row>
    <row r="237" spans="7:7" x14ac:dyDescent="0.45">
      <c r="G237" s="2"/>
    </row>
    <row r="238" spans="7:7" x14ac:dyDescent="0.45">
      <c r="G238" s="2"/>
    </row>
    <row r="239" spans="7:7" x14ac:dyDescent="0.45">
      <c r="G239" s="2"/>
    </row>
    <row r="240" spans="7:7" x14ac:dyDescent="0.45">
      <c r="G240" s="2"/>
    </row>
    <row r="241" spans="7:7" x14ac:dyDescent="0.45">
      <c r="G241" s="2"/>
    </row>
    <row r="242" spans="7:7" x14ac:dyDescent="0.45">
      <c r="G242" s="2"/>
    </row>
    <row r="243" spans="7:7" x14ac:dyDescent="0.45">
      <c r="G243" s="2"/>
    </row>
    <row r="244" spans="7:7" x14ac:dyDescent="0.45">
      <c r="G244" s="2"/>
    </row>
    <row r="245" spans="7:7" x14ac:dyDescent="0.45">
      <c r="G245" s="2"/>
    </row>
    <row r="246" spans="7:7" x14ac:dyDescent="0.45">
      <c r="G246" s="2"/>
    </row>
    <row r="247" spans="7:7" x14ac:dyDescent="0.45">
      <c r="G247" s="2"/>
    </row>
    <row r="248" spans="7:7" x14ac:dyDescent="0.45">
      <c r="G248" s="2"/>
    </row>
    <row r="249" spans="7:7" x14ac:dyDescent="0.45">
      <c r="G249" s="2"/>
    </row>
    <row r="250" spans="7:7" x14ac:dyDescent="0.45">
      <c r="G250" s="2"/>
    </row>
    <row r="251" spans="7:7" x14ac:dyDescent="0.45">
      <c r="G251" s="2"/>
    </row>
    <row r="252" spans="7:7" x14ac:dyDescent="0.45">
      <c r="G252" s="2"/>
    </row>
    <row r="253" spans="7:7" x14ac:dyDescent="0.45">
      <c r="G253" s="2"/>
    </row>
    <row r="254" spans="7:7" x14ac:dyDescent="0.45">
      <c r="G254" s="2"/>
    </row>
    <row r="255" spans="7:7" x14ac:dyDescent="0.45">
      <c r="G255" s="2"/>
    </row>
    <row r="256" spans="7:7" x14ac:dyDescent="0.45">
      <c r="G256" s="2"/>
    </row>
    <row r="257" spans="7:7" x14ac:dyDescent="0.45">
      <c r="G257" s="2"/>
    </row>
    <row r="258" spans="7:7" x14ac:dyDescent="0.45">
      <c r="G258" s="2"/>
    </row>
    <row r="259" spans="7:7" x14ac:dyDescent="0.45">
      <c r="G259" s="2"/>
    </row>
    <row r="260" spans="7:7" x14ac:dyDescent="0.45">
      <c r="G260" s="2"/>
    </row>
    <row r="261" spans="7:7" x14ac:dyDescent="0.45">
      <c r="G261" s="2"/>
    </row>
    <row r="262" spans="7:7" x14ac:dyDescent="0.45">
      <c r="G262" s="2"/>
    </row>
    <row r="263" spans="7:7" x14ac:dyDescent="0.45">
      <c r="G263" s="2"/>
    </row>
    <row r="264" spans="7:7" x14ac:dyDescent="0.45">
      <c r="G264" s="2"/>
    </row>
    <row r="265" spans="7:7" x14ac:dyDescent="0.45">
      <c r="G265" s="2"/>
    </row>
    <row r="266" spans="7:7" x14ac:dyDescent="0.45">
      <c r="G266" s="2"/>
    </row>
    <row r="267" spans="7:7" x14ac:dyDescent="0.45">
      <c r="G267" s="2"/>
    </row>
    <row r="268" spans="7:7" x14ac:dyDescent="0.45">
      <c r="G268" s="2"/>
    </row>
    <row r="269" spans="7:7" x14ac:dyDescent="0.45">
      <c r="G269" s="2"/>
    </row>
    <row r="270" spans="7:7" x14ac:dyDescent="0.45">
      <c r="G270" s="2"/>
    </row>
  </sheetData>
  <autoFilter ref="A1:G219" xr:uid="{72C09CC5-FDEB-4B47-BAEB-CC264A91C7E0}">
    <sortState ref="A2:G219">
      <sortCondition ref="G1:G21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Raw_Material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2026-07-19T19:03:45Z</dcterms:created>
  <dcterms:modified xsi:type="dcterms:W3CDTF">2026-07-23T08:07:15Z</dcterms:modified>
</cp:coreProperties>
</file>