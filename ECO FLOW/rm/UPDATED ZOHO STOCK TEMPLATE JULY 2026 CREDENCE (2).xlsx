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esktop\ECO FLOW\"/>
    </mc:Choice>
  </mc:AlternateContent>
  <xr:revisionPtr revIDLastSave="0" documentId="13_ncr:1_{B8A65B1C-4CA0-42E5-8E3B-1CD50CE9D063}" xr6:coauthVersionLast="36" xr6:coauthVersionMax="47" xr10:uidLastSave="{00000000-0000-0000-0000-000000000000}"/>
  <bookViews>
    <workbookView xWindow="0" yWindow="0" windowWidth="19200" windowHeight="699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Sheet1!$A$1:$J$219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9" i="2" l="1"/>
  <c r="B418" i="2"/>
  <c r="A418" i="2"/>
  <c r="C417" i="2"/>
  <c r="B417" i="2"/>
  <c r="A417" i="2"/>
  <c r="C416" i="2"/>
  <c r="B416" i="2"/>
  <c r="A416" i="2"/>
  <c r="C415" i="2"/>
  <c r="B415" i="2"/>
  <c r="A415" i="2"/>
  <c r="C414" i="2"/>
  <c r="B414" i="2"/>
  <c r="A414" i="2"/>
  <c r="C413" i="2"/>
  <c r="B413" i="2"/>
  <c r="A413" i="2"/>
  <c r="C412" i="2"/>
  <c r="B412" i="2"/>
  <c r="A412" i="2"/>
  <c r="C411" i="2"/>
  <c r="B411" i="2"/>
  <c r="A411" i="2"/>
  <c r="C410" i="2"/>
  <c r="B410" i="2"/>
  <c r="A410" i="2"/>
  <c r="C409" i="2"/>
  <c r="B409" i="2"/>
  <c r="A409" i="2"/>
  <c r="C408" i="2"/>
  <c r="B408" i="2"/>
  <c r="A408" i="2"/>
  <c r="C407" i="2"/>
  <c r="B407" i="2"/>
  <c r="A407" i="2"/>
  <c r="C406" i="2"/>
  <c r="B406" i="2"/>
  <c r="A406" i="2"/>
  <c r="C405" i="2"/>
  <c r="B405" i="2"/>
  <c r="A405" i="2"/>
  <c r="C404" i="2"/>
  <c r="B404" i="2"/>
  <c r="A404" i="2"/>
  <c r="C403" i="2"/>
  <c r="B403" i="2"/>
  <c r="A403" i="2"/>
  <c r="C402" i="2"/>
  <c r="B402" i="2"/>
  <c r="A402" i="2"/>
  <c r="C401" i="2"/>
  <c r="B401" i="2"/>
  <c r="A401" i="2"/>
  <c r="C400" i="2"/>
  <c r="B400" i="2"/>
  <c r="A400" i="2"/>
  <c r="C399" i="2"/>
  <c r="B399" i="2"/>
  <c r="A399" i="2"/>
  <c r="C398" i="2"/>
  <c r="B398" i="2"/>
  <c r="A398" i="2"/>
  <c r="C397" i="2"/>
  <c r="B397" i="2"/>
  <c r="A397" i="2"/>
  <c r="C396" i="2"/>
  <c r="B396" i="2"/>
  <c r="A396" i="2"/>
  <c r="C395" i="2"/>
  <c r="B395" i="2"/>
  <c r="A395" i="2"/>
  <c r="C394" i="2"/>
  <c r="B394" i="2"/>
  <c r="A394" i="2"/>
  <c r="C393" i="2"/>
  <c r="B393" i="2"/>
  <c r="A393" i="2"/>
  <c r="C392" i="2"/>
  <c r="B392" i="2"/>
  <c r="A392" i="2"/>
  <c r="C391" i="2"/>
  <c r="B391" i="2"/>
  <c r="A391" i="2"/>
  <c r="C390" i="2"/>
  <c r="B390" i="2"/>
  <c r="A390" i="2"/>
  <c r="C389" i="2"/>
  <c r="B389" i="2"/>
  <c r="A389" i="2"/>
  <c r="C388" i="2"/>
  <c r="B388" i="2"/>
  <c r="A388" i="2"/>
  <c r="C387" i="2"/>
  <c r="B387" i="2"/>
  <c r="A387" i="2"/>
  <c r="C386" i="2"/>
  <c r="B386" i="2"/>
  <c r="A386" i="2"/>
  <c r="C385" i="2"/>
  <c r="B385" i="2"/>
  <c r="A385" i="2"/>
  <c r="C384" i="2"/>
  <c r="B384" i="2"/>
  <c r="A384" i="2"/>
  <c r="C383" i="2"/>
  <c r="B383" i="2"/>
  <c r="A383" i="2"/>
  <c r="C382" i="2"/>
  <c r="B382" i="2"/>
  <c r="A382" i="2"/>
  <c r="C381" i="2"/>
  <c r="B381" i="2"/>
  <c r="A381" i="2"/>
  <c r="C380" i="2"/>
  <c r="B380" i="2"/>
  <c r="A380" i="2"/>
  <c r="C379" i="2"/>
  <c r="B379" i="2"/>
  <c r="A379" i="2"/>
  <c r="C378" i="2"/>
  <c r="B378" i="2"/>
  <c r="A378" i="2"/>
  <c r="C377" i="2"/>
  <c r="B377" i="2"/>
  <c r="A377" i="2"/>
  <c r="C376" i="2"/>
  <c r="B376" i="2"/>
  <c r="A376" i="2"/>
  <c r="C375" i="2"/>
  <c r="B375" i="2"/>
  <c r="A375" i="2"/>
  <c r="C374" i="2"/>
  <c r="B374" i="2"/>
  <c r="A374" i="2"/>
  <c r="C373" i="2"/>
  <c r="B373" i="2"/>
  <c r="A373" i="2"/>
  <c r="C372" i="2"/>
  <c r="B372" i="2"/>
  <c r="A372" i="2"/>
  <c r="C371" i="2"/>
  <c r="B371" i="2"/>
  <c r="A371" i="2"/>
  <c r="C370" i="2"/>
  <c r="B370" i="2"/>
  <c r="A370" i="2"/>
  <c r="C369" i="2"/>
  <c r="B369" i="2"/>
  <c r="A369" i="2"/>
  <c r="C368" i="2"/>
  <c r="B368" i="2"/>
  <c r="A368" i="2"/>
  <c r="C367" i="2"/>
  <c r="B367" i="2"/>
  <c r="A367" i="2"/>
  <c r="C366" i="2"/>
  <c r="B366" i="2"/>
  <c r="A366" i="2"/>
  <c r="C365" i="2"/>
  <c r="B365" i="2"/>
  <c r="A365" i="2"/>
  <c r="C364" i="2"/>
  <c r="B364" i="2"/>
  <c r="A364" i="2"/>
  <c r="C363" i="2"/>
  <c r="B363" i="2"/>
  <c r="A363" i="2"/>
  <c r="C362" i="2"/>
  <c r="B362" i="2"/>
  <c r="A362" i="2"/>
  <c r="C361" i="2"/>
  <c r="B361" i="2"/>
  <c r="A361" i="2"/>
  <c r="C360" i="2"/>
  <c r="B360" i="2"/>
  <c r="A360" i="2"/>
  <c r="C359" i="2"/>
  <c r="B359" i="2"/>
  <c r="A359" i="2"/>
  <c r="C358" i="2"/>
  <c r="B358" i="2"/>
  <c r="A358" i="2"/>
  <c r="C357" i="2"/>
  <c r="B357" i="2"/>
  <c r="A357" i="2"/>
  <c r="C356" i="2"/>
  <c r="B356" i="2"/>
  <c r="A356" i="2"/>
  <c r="C355" i="2"/>
  <c r="B355" i="2"/>
  <c r="A355" i="2"/>
  <c r="C354" i="2"/>
  <c r="B354" i="2"/>
  <c r="A354" i="2"/>
  <c r="C353" i="2"/>
  <c r="B353" i="2"/>
  <c r="A353" i="2"/>
  <c r="C352" i="2"/>
  <c r="B352" i="2"/>
  <c r="A352" i="2"/>
  <c r="C351" i="2"/>
  <c r="B351" i="2"/>
  <c r="A351" i="2"/>
  <c r="C350" i="2"/>
  <c r="B350" i="2"/>
  <c r="A350" i="2"/>
  <c r="C349" i="2"/>
  <c r="B349" i="2"/>
  <c r="A349" i="2"/>
  <c r="C348" i="2"/>
  <c r="B348" i="2"/>
  <c r="A348" i="2"/>
  <c r="C347" i="2"/>
  <c r="B347" i="2"/>
  <c r="A347" i="2"/>
  <c r="C346" i="2"/>
  <c r="B346" i="2"/>
  <c r="A346" i="2"/>
  <c r="C345" i="2"/>
  <c r="B345" i="2"/>
  <c r="A345" i="2"/>
  <c r="C344" i="2"/>
  <c r="B344" i="2"/>
  <c r="A344" i="2"/>
  <c r="C343" i="2"/>
  <c r="B343" i="2"/>
  <c r="A343" i="2"/>
  <c r="C342" i="2"/>
  <c r="B342" i="2"/>
  <c r="A342" i="2"/>
  <c r="C341" i="2"/>
  <c r="B341" i="2"/>
  <c r="A341" i="2"/>
  <c r="C340" i="2"/>
  <c r="B340" i="2"/>
  <c r="A340" i="2"/>
  <c r="C339" i="2"/>
  <c r="B339" i="2"/>
  <c r="A339" i="2"/>
  <c r="C338" i="2"/>
  <c r="B338" i="2"/>
  <c r="A338" i="2"/>
  <c r="C337" i="2"/>
  <c r="B337" i="2"/>
  <c r="A337" i="2"/>
  <c r="C336" i="2"/>
  <c r="B336" i="2"/>
  <c r="A336" i="2"/>
  <c r="C335" i="2"/>
  <c r="B335" i="2"/>
  <c r="A335" i="2"/>
  <c r="C334" i="2"/>
  <c r="B334" i="2"/>
  <c r="A334" i="2"/>
  <c r="C333" i="2"/>
  <c r="B333" i="2"/>
  <c r="A333" i="2"/>
  <c r="C332" i="2"/>
  <c r="B332" i="2"/>
  <c r="A332" i="2"/>
  <c r="C331" i="2"/>
  <c r="B331" i="2"/>
  <c r="A331" i="2"/>
  <c r="C220" i="2"/>
  <c r="B220" i="2"/>
  <c r="A220" i="2"/>
  <c r="C219" i="2"/>
  <c r="B219" i="2"/>
  <c r="A219" i="2"/>
  <c r="C218" i="2"/>
  <c r="B218" i="2"/>
  <c r="A218" i="2"/>
  <c r="C217" i="2"/>
  <c r="B217" i="2"/>
  <c r="A217" i="2"/>
  <c r="C216" i="2"/>
  <c r="B216" i="2"/>
  <c r="A216" i="2"/>
  <c r="C215" i="2"/>
  <c r="B215" i="2"/>
  <c r="A215" i="2"/>
  <c r="C214" i="2"/>
  <c r="B214" i="2"/>
  <c r="A214" i="2"/>
  <c r="C213" i="2"/>
  <c r="B213" i="2"/>
  <c r="A213" i="2"/>
  <c r="C212" i="2"/>
  <c r="B212" i="2"/>
  <c r="A212" i="2"/>
  <c r="C211" i="2"/>
  <c r="B211" i="2"/>
  <c r="A211" i="2"/>
  <c r="C210" i="2"/>
  <c r="B210" i="2"/>
  <c r="A210" i="2"/>
  <c r="C209" i="2"/>
  <c r="B209" i="2"/>
  <c r="A209" i="2"/>
  <c r="C208" i="2"/>
  <c r="B208" i="2"/>
  <c r="A208" i="2"/>
  <c r="C207" i="2"/>
  <c r="B207" i="2"/>
  <c r="A207" i="2"/>
  <c r="C206" i="2"/>
  <c r="B206" i="2"/>
  <c r="A206" i="2"/>
  <c r="C205" i="2"/>
  <c r="A205" i="2"/>
  <c r="C204" i="2"/>
  <c r="A204" i="2"/>
  <c r="C203" i="2"/>
  <c r="B203" i="2"/>
  <c r="A203" i="2"/>
  <c r="C202" i="2"/>
  <c r="B202" i="2"/>
  <c r="A202" i="2"/>
  <c r="C201" i="2"/>
  <c r="B201" i="2"/>
  <c r="A201" i="2"/>
  <c r="C200" i="2"/>
  <c r="B200" i="2"/>
  <c r="A200" i="2"/>
  <c r="C199" i="2"/>
  <c r="B199" i="2"/>
  <c r="A199" i="2"/>
  <c r="C198" i="2"/>
  <c r="B198" i="2"/>
  <c r="A198" i="2"/>
  <c r="C197" i="2"/>
  <c r="B197" i="2"/>
  <c r="A197" i="2"/>
  <c r="C196" i="2"/>
  <c r="B196" i="2"/>
  <c r="A196" i="2"/>
  <c r="C195" i="2"/>
  <c r="B195" i="2"/>
  <c r="A195" i="2"/>
  <c r="C194" i="2"/>
  <c r="B194" i="2"/>
  <c r="A194" i="2"/>
  <c r="C193" i="2"/>
  <c r="B193" i="2"/>
  <c r="A193" i="2"/>
  <c r="C192" i="2"/>
  <c r="B192" i="2"/>
  <c r="A192" i="2"/>
  <c r="C191" i="2"/>
  <c r="B191" i="2"/>
  <c r="A191" i="2"/>
  <c r="C190" i="2"/>
  <c r="B190" i="2"/>
  <c r="A190" i="2"/>
  <c r="C189" i="2"/>
  <c r="B189" i="2"/>
  <c r="A189" i="2"/>
  <c r="C188" i="2"/>
  <c r="B188" i="2"/>
  <c r="A188" i="2"/>
  <c r="C187" i="2"/>
  <c r="B187" i="2"/>
  <c r="A187" i="2"/>
  <c r="C186" i="2"/>
  <c r="B186" i="2"/>
  <c r="A186" i="2"/>
  <c r="C185" i="2"/>
  <c r="B185" i="2"/>
  <c r="A185" i="2"/>
  <c r="C184" i="2"/>
  <c r="B184" i="2"/>
  <c r="A184" i="2"/>
  <c r="C183" i="2"/>
  <c r="B183" i="2"/>
  <c r="A183" i="2"/>
  <c r="C182" i="2"/>
  <c r="B182" i="2"/>
  <c r="A182" i="2"/>
  <c r="C181" i="2"/>
  <c r="B181" i="2"/>
  <c r="A181" i="2"/>
  <c r="C180" i="2"/>
  <c r="B180" i="2"/>
  <c r="A180" i="2"/>
  <c r="C179" i="2"/>
  <c r="B179" i="2"/>
  <c r="A179" i="2"/>
  <c r="C178" i="2"/>
  <c r="B178" i="2"/>
  <c r="A178" i="2"/>
  <c r="C177" i="2"/>
  <c r="B177" i="2"/>
  <c r="A177" i="2"/>
  <c r="C176" i="2"/>
  <c r="B176" i="2"/>
  <c r="A176" i="2"/>
  <c r="C175" i="2"/>
  <c r="B175" i="2"/>
  <c r="A175" i="2"/>
  <c r="C174" i="2"/>
  <c r="B174" i="2"/>
  <c r="A174" i="2"/>
  <c r="C173" i="2"/>
  <c r="B173" i="2"/>
  <c r="A173" i="2"/>
  <c r="C172" i="2"/>
  <c r="B172" i="2"/>
  <c r="A172" i="2"/>
  <c r="C171" i="2"/>
  <c r="B171" i="2"/>
  <c r="A171" i="2"/>
  <c r="C170" i="2"/>
  <c r="B170" i="2"/>
  <c r="A170" i="2"/>
  <c r="C169" i="2"/>
  <c r="B169" i="2"/>
  <c r="A169" i="2"/>
  <c r="C168" i="2"/>
  <c r="B168" i="2"/>
  <c r="A168" i="2"/>
  <c r="C167" i="2"/>
  <c r="B167" i="2"/>
  <c r="A167" i="2"/>
  <c r="C166" i="2"/>
  <c r="B166" i="2"/>
  <c r="A166" i="2"/>
  <c r="C165" i="2"/>
  <c r="B165" i="2"/>
  <c r="A165" i="2"/>
  <c r="C164" i="2"/>
  <c r="B164" i="2"/>
  <c r="A164" i="2"/>
  <c r="C163" i="2"/>
  <c r="B163" i="2"/>
  <c r="A163" i="2"/>
  <c r="C162" i="2"/>
  <c r="B162" i="2"/>
  <c r="A162" i="2"/>
  <c r="C161" i="2"/>
  <c r="B161" i="2"/>
  <c r="A161" i="2"/>
  <c r="C160" i="2"/>
  <c r="B160" i="2"/>
  <c r="A160" i="2"/>
  <c r="C159" i="2"/>
  <c r="B159" i="2"/>
  <c r="A159" i="2"/>
  <c r="C158" i="2"/>
  <c r="B158" i="2"/>
  <c r="A158" i="2"/>
  <c r="C157" i="2"/>
  <c r="B157" i="2"/>
  <c r="A157" i="2"/>
  <c r="C156" i="2"/>
  <c r="B156" i="2"/>
  <c r="A156" i="2"/>
  <c r="C155" i="2"/>
  <c r="B155" i="2"/>
  <c r="A155" i="2"/>
  <c r="C154" i="2"/>
  <c r="B154" i="2"/>
  <c r="A154" i="2"/>
  <c r="C153" i="2"/>
  <c r="B153" i="2"/>
  <c r="A153" i="2"/>
  <c r="C152" i="2"/>
  <c r="B152" i="2"/>
  <c r="A152" i="2"/>
  <c r="C151" i="2"/>
  <c r="B151" i="2"/>
  <c r="A151" i="2"/>
  <c r="C150" i="2"/>
  <c r="B150" i="2"/>
  <c r="A150" i="2"/>
  <c r="C149" i="2"/>
  <c r="B149" i="2"/>
  <c r="A149" i="2"/>
  <c r="C148" i="2"/>
  <c r="B148" i="2"/>
  <c r="A148" i="2"/>
  <c r="C147" i="2"/>
  <c r="B147" i="2"/>
  <c r="A147" i="2"/>
  <c r="C146" i="2"/>
  <c r="B146" i="2"/>
  <c r="A146" i="2"/>
  <c r="C145" i="2"/>
  <c r="B145" i="2"/>
  <c r="A145" i="2"/>
  <c r="C144" i="2"/>
  <c r="B144" i="2"/>
  <c r="A144" i="2"/>
  <c r="C143" i="2"/>
  <c r="B143" i="2"/>
  <c r="A143" i="2"/>
  <c r="C142" i="2"/>
  <c r="B142" i="2"/>
  <c r="A142" i="2"/>
  <c r="C141" i="2"/>
  <c r="B141" i="2"/>
  <c r="A141" i="2"/>
  <c r="C140" i="2"/>
  <c r="B140" i="2"/>
  <c r="A140" i="2"/>
  <c r="C139" i="2"/>
  <c r="B139" i="2"/>
  <c r="A139" i="2"/>
  <c r="C138" i="2"/>
  <c r="B138" i="2"/>
  <c r="A138" i="2"/>
  <c r="C137" i="2"/>
  <c r="B137" i="2"/>
  <c r="A137" i="2"/>
  <c r="C136" i="2"/>
  <c r="B136" i="2"/>
  <c r="A136" i="2"/>
  <c r="C135" i="2"/>
  <c r="B135" i="2"/>
  <c r="A135" i="2"/>
  <c r="C134" i="2"/>
  <c r="B134" i="2"/>
  <c r="A134" i="2"/>
  <c r="C133" i="2"/>
  <c r="B133" i="2"/>
  <c r="A133" i="2"/>
  <c r="C132" i="2"/>
  <c r="B132" i="2"/>
  <c r="A132" i="2"/>
  <c r="C131" i="2"/>
  <c r="B131" i="2"/>
  <c r="A131" i="2"/>
  <c r="C130" i="2"/>
  <c r="B130" i="2"/>
  <c r="A130" i="2"/>
  <c r="C129" i="2"/>
  <c r="B129" i="2"/>
  <c r="A129" i="2"/>
  <c r="C128" i="2"/>
  <c r="B128" i="2"/>
  <c r="A128" i="2"/>
  <c r="C127" i="2"/>
  <c r="B127" i="2"/>
  <c r="A127" i="2"/>
  <c r="C126" i="2"/>
  <c r="B126" i="2"/>
  <c r="A126" i="2"/>
  <c r="C125" i="2"/>
  <c r="B125" i="2"/>
  <c r="A125" i="2"/>
  <c r="C124" i="2"/>
  <c r="B124" i="2"/>
  <c r="A124" i="2"/>
  <c r="C123" i="2"/>
  <c r="B123" i="2"/>
  <c r="A123" i="2"/>
  <c r="C122" i="2"/>
  <c r="B122" i="2"/>
  <c r="A122" i="2"/>
  <c r="C121" i="2"/>
  <c r="B121" i="2"/>
  <c r="A121" i="2"/>
  <c r="C120" i="2"/>
  <c r="B120" i="2"/>
  <c r="A120" i="2"/>
  <c r="C119" i="2"/>
  <c r="B119" i="2"/>
  <c r="A119" i="2"/>
  <c r="C118" i="2"/>
  <c r="B118" i="2"/>
  <c r="A118" i="2"/>
  <c r="C117" i="2"/>
  <c r="B117" i="2"/>
  <c r="A117" i="2"/>
  <c r="C116" i="2"/>
  <c r="B116" i="2"/>
  <c r="A116" i="2"/>
  <c r="C115" i="2"/>
  <c r="B115" i="2"/>
  <c r="A115" i="2"/>
  <c r="C114" i="2"/>
  <c r="B114" i="2"/>
  <c r="A114" i="2"/>
  <c r="C113" i="2"/>
  <c r="B113" i="2"/>
  <c r="A113" i="2"/>
  <c r="C112" i="2"/>
  <c r="B112" i="2"/>
  <c r="A112" i="2"/>
  <c r="C111" i="2"/>
  <c r="B111" i="2"/>
  <c r="A111" i="2"/>
  <c r="C110" i="2"/>
  <c r="B110" i="2"/>
  <c r="A110" i="2"/>
  <c r="C109" i="2"/>
  <c r="B109" i="2"/>
  <c r="A109" i="2"/>
  <c r="C108" i="2"/>
  <c r="B108" i="2"/>
  <c r="A108" i="2"/>
  <c r="C107" i="2"/>
  <c r="B107" i="2"/>
  <c r="A107" i="2"/>
  <c r="C106" i="2"/>
  <c r="B106" i="2"/>
  <c r="A106" i="2"/>
  <c r="C105" i="2"/>
  <c r="B105" i="2"/>
  <c r="A105" i="2"/>
  <c r="C104" i="2"/>
  <c r="B104" i="2"/>
  <c r="A104" i="2"/>
  <c r="C103" i="2"/>
  <c r="B103" i="2"/>
  <c r="A103" i="2"/>
  <c r="C102" i="2"/>
  <c r="B102" i="2"/>
  <c r="A102" i="2"/>
  <c r="C101" i="2"/>
  <c r="B101" i="2"/>
  <c r="A101" i="2"/>
  <c r="C100" i="2"/>
  <c r="B100" i="2"/>
  <c r="A100" i="2"/>
  <c r="C99" i="2"/>
  <c r="B99" i="2"/>
  <c r="A99" i="2"/>
  <c r="C98" i="2"/>
  <c r="B98" i="2"/>
  <c r="A98" i="2"/>
  <c r="C97" i="2"/>
  <c r="B97" i="2"/>
  <c r="A97" i="2"/>
  <c r="C96" i="2"/>
  <c r="B96" i="2"/>
  <c r="A96" i="2"/>
  <c r="C95" i="2"/>
  <c r="B95" i="2"/>
  <c r="A95" i="2"/>
  <c r="C94" i="2"/>
  <c r="B94" i="2"/>
  <c r="A94" i="2"/>
  <c r="C93" i="2"/>
  <c r="B93" i="2"/>
  <c r="A93" i="2"/>
  <c r="C92" i="2"/>
  <c r="B92" i="2"/>
  <c r="A92" i="2"/>
  <c r="C91" i="2"/>
  <c r="B91" i="2"/>
  <c r="A91" i="2"/>
  <c r="C90" i="2"/>
  <c r="B90" i="2"/>
  <c r="A90" i="2"/>
  <c r="C89" i="2"/>
  <c r="B89" i="2"/>
  <c r="A89" i="2"/>
  <c r="C88" i="2"/>
  <c r="B88" i="2"/>
  <c r="A88" i="2"/>
  <c r="C87" i="2"/>
  <c r="B87" i="2"/>
  <c r="A87" i="2"/>
  <c r="C86" i="2"/>
  <c r="B86" i="2"/>
  <c r="A86" i="2"/>
  <c r="C85" i="2"/>
  <c r="B85" i="2"/>
  <c r="A85" i="2"/>
  <c r="C84" i="2"/>
  <c r="B84" i="2"/>
  <c r="A84" i="2"/>
  <c r="C83" i="2"/>
  <c r="B83" i="2"/>
  <c r="A83" i="2"/>
  <c r="C82" i="2"/>
  <c r="B82" i="2"/>
  <c r="A82" i="2"/>
  <c r="C81" i="2"/>
  <c r="B81" i="2"/>
  <c r="A81" i="2"/>
  <c r="C80" i="2"/>
  <c r="B80" i="2"/>
  <c r="A80" i="2"/>
  <c r="C79" i="2"/>
  <c r="B79" i="2"/>
  <c r="A79" i="2"/>
  <c r="C78" i="2"/>
  <c r="B78" i="2"/>
  <c r="A78" i="2"/>
  <c r="C77" i="2"/>
  <c r="B77" i="2"/>
  <c r="A77" i="2"/>
  <c r="C76" i="2"/>
  <c r="B76" i="2"/>
  <c r="A76" i="2"/>
  <c r="C75" i="2"/>
  <c r="B75" i="2"/>
  <c r="A75" i="2"/>
  <c r="C74" i="2"/>
  <c r="B74" i="2"/>
  <c r="A74" i="2"/>
  <c r="C73" i="2"/>
  <c r="B73" i="2"/>
  <c r="A73" i="2"/>
  <c r="C72" i="2"/>
  <c r="B72" i="2"/>
  <c r="A72" i="2"/>
  <c r="C71" i="2"/>
  <c r="B71" i="2"/>
  <c r="A71" i="2"/>
  <c r="C70" i="2"/>
  <c r="B70" i="2"/>
  <c r="A70" i="2"/>
  <c r="C69" i="2"/>
  <c r="B69" i="2"/>
  <c r="A69" i="2"/>
  <c r="C68" i="2"/>
  <c r="B68" i="2"/>
  <c r="A68" i="2"/>
  <c r="C67" i="2"/>
  <c r="B67" i="2"/>
  <c r="A67" i="2"/>
  <c r="C66" i="2"/>
  <c r="B66" i="2"/>
  <c r="A66" i="2"/>
  <c r="C65" i="2"/>
  <c r="B65" i="2"/>
  <c r="A65" i="2"/>
  <c r="C64" i="2"/>
  <c r="B64" i="2"/>
  <c r="A64" i="2"/>
  <c r="C63" i="2"/>
  <c r="B63" i="2"/>
  <c r="A63" i="2"/>
  <c r="C62" i="2"/>
  <c r="B62" i="2"/>
  <c r="A62" i="2"/>
  <c r="C61" i="2"/>
  <c r="B61" i="2"/>
  <c r="A61" i="2"/>
  <c r="C60" i="2"/>
  <c r="B60" i="2"/>
  <c r="A60" i="2"/>
  <c r="C59" i="2"/>
  <c r="B59" i="2"/>
  <c r="A59" i="2"/>
  <c r="C58" i="2"/>
  <c r="B58" i="2"/>
  <c r="A58" i="2"/>
  <c r="C57" i="2"/>
  <c r="B57" i="2"/>
  <c r="A57" i="2"/>
  <c r="C56" i="2"/>
  <c r="B56" i="2"/>
  <c r="A56" i="2"/>
  <c r="C55" i="2"/>
  <c r="B55" i="2"/>
  <c r="A55" i="2"/>
  <c r="C54" i="2"/>
  <c r="B54" i="2"/>
  <c r="A54" i="2"/>
  <c r="C53" i="2"/>
  <c r="B53" i="2"/>
  <c r="A53" i="2"/>
  <c r="C52" i="2"/>
  <c r="B52" i="2"/>
  <c r="A52" i="2"/>
  <c r="C51" i="2"/>
  <c r="B51" i="2"/>
  <c r="A51" i="2"/>
  <c r="C50" i="2"/>
  <c r="B50" i="2"/>
  <c r="A50" i="2"/>
  <c r="C49" i="2"/>
  <c r="B49" i="2"/>
  <c r="A49" i="2"/>
  <c r="C48" i="2"/>
  <c r="B48" i="2"/>
  <c r="A48" i="2"/>
  <c r="C47" i="2"/>
  <c r="B47" i="2"/>
  <c r="A47" i="2"/>
  <c r="C46" i="2"/>
  <c r="B46" i="2"/>
  <c r="A46" i="2"/>
  <c r="C45" i="2"/>
  <c r="B45" i="2"/>
  <c r="A45" i="2"/>
  <c r="C44" i="2"/>
  <c r="B44" i="2"/>
  <c r="A44" i="2"/>
  <c r="C43" i="2"/>
  <c r="B43" i="2"/>
  <c r="A43" i="2"/>
  <c r="C42" i="2"/>
  <c r="B42" i="2"/>
  <c r="A42" i="2"/>
  <c r="C41" i="2"/>
  <c r="B41" i="2"/>
  <c r="A41" i="2"/>
  <c r="C40" i="2"/>
  <c r="B40" i="2"/>
  <c r="A40" i="2"/>
  <c r="C39" i="2"/>
  <c r="B39" i="2"/>
  <c r="A39" i="2"/>
  <c r="C38" i="2"/>
  <c r="B38" i="2"/>
  <c r="A38" i="2"/>
  <c r="C37" i="2"/>
  <c r="B37" i="2"/>
  <c r="A37" i="2"/>
  <c r="C36" i="2"/>
  <c r="B36" i="2"/>
  <c r="A36" i="2"/>
  <c r="C35" i="2"/>
  <c r="B35" i="2"/>
  <c r="A35" i="2"/>
  <c r="C34" i="2"/>
  <c r="B34" i="2"/>
  <c r="A34" i="2"/>
  <c r="C33" i="2"/>
  <c r="B33" i="2"/>
  <c r="A33" i="2"/>
  <c r="C32" i="2"/>
  <c r="B32" i="2"/>
  <c r="A32" i="2"/>
  <c r="C31" i="2"/>
  <c r="B31" i="2"/>
  <c r="A31" i="2"/>
  <c r="C30" i="2"/>
  <c r="B30" i="2"/>
  <c r="A30" i="2"/>
  <c r="C29" i="2"/>
  <c r="B29" i="2"/>
  <c r="A29" i="2"/>
  <c r="C28" i="2"/>
  <c r="B28" i="2"/>
  <c r="A28" i="2"/>
  <c r="C27" i="2"/>
  <c r="B27" i="2"/>
  <c r="A27" i="2"/>
  <c r="C26" i="2"/>
  <c r="B26" i="2"/>
  <c r="A26" i="2"/>
  <c r="C25" i="2"/>
  <c r="B25" i="2"/>
  <c r="A25" i="2"/>
  <c r="C24" i="2"/>
  <c r="B24" i="2"/>
  <c r="A24" i="2"/>
  <c r="C23" i="2"/>
  <c r="B23" i="2"/>
  <c r="A23" i="2"/>
  <c r="C22" i="2"/>
  <c r="B22" i="2"/>
  <c r="A22" i="2"/>
  <c r="C21" i="2"/>
  <c r="B21" i="2"/>
  <c r="A21" i="2"/>
  <c r="C20" i="2"/>
  <c r="B20" i="2"/>
  <c r="A20" i="2"/>
  <c r="C19" i="2"/>
  <c r="B19" i="2"/>
  <c r="A19" i="2"/>
  <c r="C18" i="2"/>
  <c r="B18" i="2"/>
  <c r="A18" i="2"/>
  <c r="C17" i="2"/>
  <c r="B17" i="2"/>
  <c r="A17" i="2"/>
  <c r="C16" i="2"/>
  <c r="B16" i="2"/>
  <c r="A16" i="2"/>
  <c r="C15" i="2"/>
  <c r="B15" i="2"/>
  <c r="A15" i="2"/>
  <c r="C14" i="2"/>
  <c r="B14" i="2"/>
  <c r="A14" i="2"/>
  <c r="C13" i="2"/>
  <c r="B13" i="2"/>
  <c r="A13" i="2"/>
  <c r="C12" i="2"/>
  <c r="B12" i="2"/>
  <c r="A12" i="2"/>
  <c r="C11" i="2"/>
  <c r="B11" i="2"/>
  <c r="A11" i="2"/>
  <c r="C10" i="2"/>
  <c r="B10" i="2"/>
  <c r="A10" i="2"/>
  <c r="C9" i="2"/>
  <c r="B9" i="2"/>
  <c r="A9" i="2"/>
  <c r="C8" i="2"/>
  <c r="B8" i="2"/>
  <c r="A8" i="2"/>
  <c r="C7" i="2"/>
  <c r="B7" i="2"/>
  <c r="A7" i="2"/>
  <c r="C6" i="2"/>
  <c r="B6" i="2"/>
  <c r="A6" i="2"/>
  <c r="C5" i="2"/>
  <c r="B5" i="2"/>
  <c r="A5" i="2"/>
  <c r="C4" i="2"/>
  <c r="B4" i="2"/>
  <c r="A4" i="2"/>
  <c r="C3" i="2"/>
  <c r="B3" i="2"/>
  <c r="A3" i="2"/>
  <c r="C2" i="2"/>
  <c r="B2" i="2"/>
  <c r="A2" i="2"/>
  <c r="A1" i="2"/>
  <c r="F113" i="2" l="1"/>
</calcChain>
</file>

<file path=xl/sharedStrings.xml><?xml version="1.0" encoding="utf-8"?>
<sst xmlns="http://schemas.openxmlformats.org/spreadsheetml/2006/main" count="684" uniqueCount="303">
  <si>
    <t>Sl</t>
  </si>
  <si>
    <t>Sub catagery</t>
  </si>
  <si>
    <t>Item</t>
  </si>
  <si>
    <t>Purchase Price</t>
  </si>
  <si>
    <t>HSN</t>
  </si>
  <si>
    <t>GST</t>
  </si>
  <si>
    <t>Description</t>
  </si>
  <si>
    <t>STOCK</t>
  </si>
  <si>
    <t xml:space="preserve">use in basket </t>
  </si>
  <si>
    <t xml:space="preserve">validated </t>
  </si>
  <si>
    <t>14200 on 21.6.26</t>
  </si>
  <si>
    <t>validated 6200 on 21.6.26</t>
  </si>
  <si>
    <t>6800 on 21.6.26</t>
  </si>
  <si>
    <t>100 on 21.6.26</t>
  </si>
  <si>
    <t>NIWAR</t>
  </si>
  <si>
    <t>Thread</t>
  </si>
  <si>
    <t>Fabric</t>
  </si>
  <si>
    <t xml:space="preserve">Stationary </t>
  </si>
  <si>
    <t>Metal Accessory</t>
  </si>
  <si>
    <t xml:space="preserve">Hard Sheets </t>
  </si>
  <si>
    <t>Tool</t>
  </si>
  <si>
    <t>Foam</t>
  </si>
  <si>
    <t>Poly</t>
  </si>
  <si>
    <t>Zip</t>
  </si>
  <si>
    <t>Machine</t>
  </si>
  <si>
    <t>ZIP</t>
  </si>
  <si>
    <t xml:space="preserve">HARD SHEETS </t>
  </si>
  <si>
    <t xml:space="preserve">POLYESTER NIWAR 25 MM </t>
  </si>
  <si>
    <t>PP NIWAR</t>
  </si>
  <si>
    <t>420 D NYLON BLACK PU COATED</t>
  </si>
  <si>
    <t>9 Line Pad</t>
  </si>
  <si>
    <t>A/4 Sticker Label (White)</t>
  </si>
  <si>
    <t>ADJUSTER BUCKLE _20mm</t>
  </si>
  <si>
    <t>Airmesh_60"x65mtr_120GSM_Black</t>
  </si>
  <si>
    <t>BOPP DHPE/PP WOVEN LAM FABRIC</t>
  </si>
  <si>
    <t>Bottom Stud-75mm</t>
  </si>
  <si>
    <t>Bottom Stud-Oval FCL_58mm</t>
  </si>
  <si>
    <t>Bubble Guard_1300mm*2000mm_1200GSM_Blue</t>
  </si>
  <si>
    <t>CF_58"x50mtr_PVC Cherry Cord_6x2_ 400GSM_Black-5%</t>
  </si>
  <si>
    <t>CF_58"x50mtr_PVC Cherry Cord_6x2_400GSM_Navyblue-5%</t>
  </si>
  <si>
    <t>CF_58"x50mtr_PVC Cherry Cord_6x2_ 400GSM_RED+WR- 5%</t>
  </si>
  <si>
    <t>CF_60" 24No Cord_PU Coated_Black</t>
  </si>
  <si>
    <t>Cord Lock-Oval</t>
  </si>
  <si>
    <t>Cord Lock-Round  FCL_Standard</t>
  </si>
  <si>
    <t>Cord Lock-Sleek</t>
  </si>
  <si>
    <t>Cord Lock-Ultra</t>
  </si>
  <si>
    <t>COTTON NIWAR- 48 mm beige</t>
  </si>
  <si>
    <t>Die_13mm_BT5_Plastic Snap Button</t>
  </si>
  <si>
    <t>D Ring "Polo"</t>
  </si>
  <si>
    <t>D_Ring_20mm Black_with Powder Coating_4mm</t>
  </si>
  <si>
    <t>EPE Rolls 1400 mm-10_mm-Black</t>
  </si>
  <si>
    <t>EPE Rolls 1400 mm-5 mm D/L-NAT</t>
  </si>
  <si>
    <t>EPE Rolls 1400 mm-8 mm-Black</t>
  </si>
  <si>
    <t>EPE Rolls 1500 mm-3_mm-Black</t>
  </si>
  <si>
    <t>EVA- Foam</t>
  </si>
  <si>
    <t>GUCCHI MATTY COATED_BLACK_59031010</t>
  </si>
  <si>
    <t>GUCCHI MATTY_BLACK_54071019</t>
  </si>
  <si>
    <t>Heat Insulation Sheet- (SQM)</t>
  </si>
  <si>
    <t>Hook-Type 1_FF006</t>
  </si>
  <si>
    <t>Knitted Elastic -10 mm White</t>
  </si>
  <si>
    <t>Knitted Elastic -15 mm Black</t>
  </si>
  <si>
    <t>Knitted Elastic -15 mm Grey</t>
  </si>
  <si>
    <t>Knitted Elastic -20 mm Black</t>
  </si>
  <si>
    <t>Knitted Elastic -25 mm Black</t>
  </si>
  <si>
    <t>Knitted Elastic -38 mm Red</t>
  </si>
  <si>
    <t>Ladder Lock - Black -38mm - Leo</t>
  </si>
  <si>
    <t>LADDER LOCK FF</t>
  </si>
  <si>
    <t>LADDER LOCK SF</t>
  </si>
  <si>
    <t>Ladder Lock Virgo-20mm-Black</t>
  </si>
  <si>
    <t>Laminated Eva Fabric_5%</t>
  </si>
  <si>
    <t>LD_POLY_20 X 24 Inch_160 Gauge</t>
  </si>
  <si>
    <t>LINER BLACK 190T</t>
  </si>
  <si>
    <t>LOOP BUCKLE ADJUSTER_25mm</t>
  </si>
  <si>
    <t>LOOP BUCKLE ADJUSTER_30mm</t>
  </si>
  <si>
    <t>Matty Apc - 54071019</t>
  </si>
  <si>
    <t>Plane LDPE Poly Bag_31"x40"x240G</t>
  </si>
  <si>
    <t xml:space="preserve">niwar - plain piping 4 gram 240 mtr average </t>
  </si>
  <si>
    <t>PRINTED POLYTHENE BAGS_12X16X240G MILKY</t>
  </si>
  <si>
    <t>PU COATED FABRIC_450 x 450 Matty_Purple_Shade -6268</t>
  </si>
  <si>
    <t>PVC SHEETING FILM</t>
  </si>
  <si>
    <t>Rectangle Buckle - Black _25mm</t>
  </si>
  <si>
    <t>Rectangle Buckle - Black _50mm</t>
  </si>
  <si>
    <t>Rectangle Buckle - FF_30mm</t>
  </si>
  <si>
    <t>Red Coated Fabrics With Uly_58" Inch coating WR -5%</t>
  </si>
  <si>
    <t xml:space="preserve">Reflective Tape-200 mtr </t>
  </si>
  <si>
    <t>Reflective Tape_25mm x 90mtr_Grey-5%</t>
  </si>
  <si>
    <t>SHOLDAR PAD FF-032_38mm</t>
  </si>
  <si>
    <t>SHOLDAR PAD_2inch</t>
  </si>
  <si>
    <t>SHRINK WRAP ROLL</t>
  </si>
  <si>
    <t>Square Buckle - Black - 20mm</t>
  </si>
  <si>
    <t>Square Buckle - Black - 25mm</t>
  </si>
  <si>
    <t>Square Buckle - Black - 32mm</t>
  </si>
  <si>
    <t>Square Buckle - FF_Black- 20mm</t>
  </si>
  <si>
    <t>SQUARE BUCKLE IFC_25mm</t>
  </si>
  <si>
    <t>SR Clamp-Black -20mm - Draco</t>
  </si>
  <si>
    <t>SR Clamp-Black -38mm - Indus</t>
  </si>
  <si>
    <t>SR Clamp-Ultra  FF_25mm</t>
  </si>
  <si>
    <t>SR Clamp_20mm</t>
  </si>
  <si>
    <t>SR Clamp_25mm</t>
  </si>
  <si>
    <t>Sticker Print-18%</t>
  </si>
  <si>
    <t>Tefta Label with QR Code_40mm x 50 mm- 5%</t>
  </si>
  <si>
    <t>Thread_2Ply*10000mtr_White/Z/TKT60</t>
  </si>
  <si>
    <t>Thread_2Ply*10000mtr_Yellow/Z/TKT60</t>
  </si>
  <si>
    <t>Thread_2Ply*2000mtr_Black/Z/J150- 5%</t>
  </si>
  <si>
    <t>Thread_2Ply*2000mtr_Golden yellow/Z/J150</t>
  </si>
  <si>
    <t>Thread_2Ply*2000mtr_Golden Yellow_N166/J150-5%</t>
  </si>
  <si>
    <t>Thread_2Ply*2000mtr_Grey/N141/J150-5%</t>
  </si>
  <si>
    <t>Thread_2Ply*2000mtr_Grey/Z/J150</t>
  </si>
  <si>
    <t>Thread_2Ply*2000mtr_Navyblue/N920/J150_5%</t>
  </si>
  <si>
    <t>Thread_2Ply*2000mtr_Red/Z/J150</t>
  </si>
  <si>
    <t>Thread_3Ply*1000mtr_Blue/Z/ULTRA DEE/TKT30</t>
  </si>
  <si>
    <t>Thread_3Ply*1000mtr_M Green/Z/ULTRA DEE/TKT30</t>
  </si>
  <si>
    <t>Thread_3Ply*1000mtr_Red/Z/ULTRA DEE/TKT30</t>
  </si>
  <si>
    <t>Thread_3Ply*1500mtr_Black/Z/J125- 5%</t>
  </si>
  <si>
    <t>Thread_3Ply*1500mtr_Golden yellow/Z/J125</t>
  </si>
  <si>
    <t>Thread_3Ply*1500mtr_Golden Yellow_N166/J125-5%</t>
  </si>
  <si>
    <t>Thread_3Ply*1500mtr_Red/N5710/J125-5%</t>
  </si>
  <si>
    <t>Thread_3Ply*1500mtr_Red/Z/J125</t>
  </si>
  <si>
    <t>Thread_3Ply*400mtr_Blue/Z/TKT120</t>
  </si>
  <si>
    <t>Thread_3Ply*400mtr_Brown/Z/TKT120</t>
  </si>
  <si>
    <t>Thread_3Ply*400mtr_C Green/Z/TKT120</t>
  </si>
  <si>
    <t>Thread_3Ply*400mtr_Dark Green/Z/TKT120</t>
  </si>
  <si>
    <t>Thread_3Ply*400mtr_Dark grey/Z/TKT120</t>
  </si>
  <si>
    <t>Thread_3Ply*400mtr_Fluorescent yellow/Z/TKT120</t>
  </si>
  <si>
    <t>Thread_3Ply*400mtr_Golden yellow/Z/TKT120</t>
  </si>
  <si>
    <t>Thread_3Ply*400mtr_Golden/Z/TKT120</t>
  </si>
  <si>
    <t>Thread_3Ply*400mtr_Light Brown/Z/TKT120</t>
  </si>
  <si>
    <t>Thread_3Ply*400mtr_Maroon/Z/TKT120</t>
  </si>
  <si>
    <t>Thread_3Ply*400mtr_Orange/Z/TKT120</t>
  </si>
  <si>
    <t>Thread_3Ply*400mtr_Red/Z/TKT120</t>
  </si>
  <si>
    <t>Thread_3Ply*5000mtr_Black_Y260</t>
  </si>
  <si>
    <t>USB CHARGING  IFC</t>
  </si>
  <si>
    <t>USB Cord with Cover</t>
  </si>
  <si>
    <t>Velcro -Micro Hook-10mm-1000 Mtr White-GBS</t>
  </si>
  <si>
    <t>Velcro _2 Side-50mm-Black</t>
  </si>
  <si>
    <t>Velcro _Hook-10mm-White_Max</t>
  </si>
  <si>
    <t>Velcro _hook-110mm-Black</t>
  </si>
  <si>
    <t>Velcro _Hook-15mm-White_With adhesive</t>
  </si>
  <si>
    <t>Velcro _Hook-20mm-White_Classic</t>
  </si>
  <si>
    <t>Velcro _hook-20mm-White_Maestro</t>
  </si>
  <si>
    <t>Velcro _Hook-25mm-Black_Diamond</t>
  </si>
  <si>
    <t>Velcro _Hook-25mm-Red_Welar</t>
  </si>
  <si>
    <t>Velcro _Hook-25mm-White_Max</t>
  </si>
  <si>
    <t>Velcro _Hook-38mm-Black_Diamond</t>
  </si>
  <si>
    <t>Velcro _Hook-38mm-Black_K fast</t>
  </si>
  <si>
    <t>Velcro _Hook-50mm-Black_Max</t>
  </si>
  <si>
    <t>Velcro _Loop-10mm-White_Max</t>
  </si>
  <si>
    <t>Velcro _Loop-20mm-White_Classic</t>
  </si>
  <si>
    <t>Velcro _Loop-20mm-White_Maestro</t>
  </si>
  <si>
    <t>Velcro _Loop-20mm-White_Ultra</t>
  </si>
  <si>
    <t>Velcro _Loop-25mm-Black_Diamond</t>
  </si>
  <si>
    <t>Velcro _Loop-25mm-Red_Welar</t>
  </si>
  <si>
    <t>Velcro _Loop-25mm-White_Max</t>
  </si>
  <si>
    <t>Velcro _Loop-38mm-Black_Diamond</t>
  </si>
  <si>
    <t>Velcro _Loop-50mm-Black_Max</t>
  </si>
  <si>
    <t>Washer</t>
  </si>
  <si>
    <t>Water Proof Zipper_7No.</t>
  </si>
  <si>
    <t>WFSF_60"_24No_Black</t>
  </si>
  <si>
    <t>Zip_#10No.Black/10CZR30K100YRB-5%</t>
  </si>
  <si>
    <t>Zip_#8 No.Black/8 CFC 1.8K100YRB</t>
  </si>
  <si>
    <t>Zip_39mm Width_#8 No.Black/8 CFC 2.2K100YRB-5%</t>
  </si>
  <si>
    <t>KITCHEN BASKET BIG</t>
  </si>
  <si>
    <t>PP WOVEN BAG_38"*34"_Printed</t>
  </si>
  <si>
    <t>PP Woven Silver Metpat Laminated 115 GSM</t>
  </si>
  <si>
    <t>SAMPLE FOLDER</t>
  </si>
  <si>
    <t>WOODEN PALLET</t>
  </si>
  <si>
    <t xml:space="preserve">5 NO. CFC GREEN 2.400 KG - 180 MTR </t>
  </si>
  <si>
    <t xml:space="preserve">5 NO. CFC YELLOW 2.400 KG - 180 MTR </t>
  </si>
  <si>
    <t xml:space="preserve">5 NO. CFC ORANGE 2.400 KG - 180 MTR </t>
  </si>
  <si>
    <t xml:space="preserve">5 NO. CFC WHITE 2.400 KG - 180 MTR </t>
  </si>
  <si>
    <t xml:space="preserve">5 NO. CFC RED 2.400 KG - 180 MTR </t>
  </si>
  <si>
    <t xml:space="preserve">5 NO. CFC BLACK 2.400 KG - 180 MTR </t>
  </si>
  <si>
    <t xml:space="preserve">5 NO. CFC BLUE 2.400 KG - 180 MTR </t>
  </si>
  <si>
    <t xml:space="preserve">DORI 5 PLY </t>
  </si>
  <si>
    <t>Knitted Elastic -30 mm Black</t>
  </si>
  <si>
    <t xml:space="preserve">2X2 MATTY PVC LAMINATED BLACK </t>
  </si>
  <si>
    <t xml:space="preserve">BAG CLOSURE THREAD 3 PLY </t>
  </si>
  <si>
    <t xml:space="preserve">25 MM PREMIUM SOFT 270 PER KG / 60 MTR </t>
  </si>
  <si>
    <t>2. PP CORRUGATED SHEET-464*368- 700 GSM- BLACK- . (BLK)</t>
  </si>
  <si>
    <t>3. PP CORRUGATED SHEET-465*140- 700 GSM- BLACK-  Pcs. (BLK)</t>
  </si>
  <si>
    <t xml:space="preserve">LINER 14 KG QUALITY BLACK </t>
  </si>
  <si>
    <t xml:space="preserve">YKK BLACK - 5 NO. - RC CFC- 200 MTR PER BUNDLE </t>
  </si>
  <si>
    <t xml:space="preserve">Stock Quantity </t>
  </si>
  <si>
    <t xml:space="preserve">Unit </t>
  </si>
  <si>
    <t xml:space="preserve">Coated Fabric </t>
  </si>
  <si>
    <t xml:space="preserve">Airmesh </t>
  </si>
  <si>
    <t xml:space="preserve">Thermal Fabric </t>
  </si>
  <si>
    <t xml:space="preserve">Bubble Guard </t>
  </si>
  <si>
    <t xml:space="preserve">Foam </t>
  </si>
  <si>
    <t>Elastic</t>
  </si>
  <si>
    <t>Reflective Tape</t>
  </si>
  <si>
    <t>Stationary</t>
  </si>
  <si>
    <t>Velcro Tape</t>
  </si>
  <si>
    <t>Furniture</t>
  </si>
  <si>
    <t xml:space="preserve">Matty 2x2 – with PVC lamination yellow </t>
  </si>
  <si>
    <t>Sewing Trims</t>
  </si>
  <si>
    <t>Asset</t>
  </si>
  <si>
    <t>catagery</t>
  </si>
  <si>
    <t>Flute Board PP Corrugated Sheet_1220mm*1800mm_700 GSM_4mm_Grey</t>
  </si>
  <si>
    <t>Flute Board PP Corrugated Sheet_356* mm*381mm_900 GSM_5mm_Grey</t>
  </si>
  <si>
    <t>Flute Board PP Corrugated Sheet_381* mm*369mm_900 GSM_5mm_Grey</t>
  </si>
  <si>
    <t>Flute Board Pp Sheet 4 mm 700 Gsm Size L 14.5xW12"</t>
  </si>
  <si>
    <t>Flute Board Pp Sheet 4 mm 700 Gsm Size L 14 x W11.5"</t>
  </si>
  <si>
    <t>Flute Board Pp Sheet 4 mm 700 Gsm Size L 18.25"xW14.5"</t>
  </si>
  <si>
    <t>Flute Board Pp Sheet 4 mm 700 Gsm Size L 18.25"xW5.5"</t>
  </si>
  <si>
    <t>Flute Board PP Sheet_279.40mm*127mm_Black_Thickness_1.25mm_1200GSM</t>
  </si>
  <si>
    <t>PVC Hard Pvc_1.25"x10"_1010GSM_Black</t>
  </si>
  <si>
    <t>PVC Hard Pvc_1.25"x12.5"_1010GSM_Black</t>
  </si>
  <si>
    <t>PVC Hard Pvc_1.25"x13.5"_1010GSM_Black</t>
  </si>
  <si>
    <t xml:space="preserve">PP sheet  PP Sheet 12 x 12 </t>
  </si>
  <si>
    <t xml:space="preserve">PVC Hard PP sheet 13 x 13 </t>
  </si>
  <si>
    <t xml:space="preserve">Flute Board FLUTE 336 X 280 - 4.8 MM - 700 GSM </t>
  </si>
  <si>
    <t xml:space="preserve">Flute Board FLUTE 159 X 280 - 4.8 MM - 700 GSM </t>
  </si>
  <si>
    <t xml:space="preserve">Flute Board 1.PP CORRUGATED SHEET-356*292- 700 GSM- BLACK- . (BLK) </t>
  </si>
  <si>
    <t>Flute Board 2. PP CORRUGATED SHEET-464*368- 700 GSM- BLACK- . (BLK)</t>
  </si>
  <si>
    <t>Flute Board 3. PP CORRUGATED SHEET-465*140- 700 GSM- BLACK-  Pcs. (BLK)</t>
  </si>
  <si>
    <t xml:space="preserve">Flute Board PP CORRUGATED SHEET-305*305- 900 GSM- Virgin - Black </t>
  </si>
  <si>
    <t>MachineWEB CONTROL MACHINE</t>
  </si>
  <si>
    <t>Metal Accessory ALUMINIUM EXTRUDED PROFILE</t>
  </si>
  <si>
    <t>Metal Accessory Aluminium Pipe Trolley Orgin</t>
  </si>
  <si>
    <t>Metal AccessoryD Ring "Polo"</t>
  </si>
  <si>
    <t>Metal AccessoryD_Ring_20mm Black_with Powder Coating_4mm</t>
  </si>
  <si>
    <t>Metal AccessoryD_Ring_25mm Black_with Powder Coating_4mm-5%</t>
  </si>
  <si>
    <t>Metal AccessoryExpandeble Trolley</t>
  </si>
  <si>
    <t>Metal AccessoryNo.8 CFC Non Lock D Puller</t>
  </si>
  <si>
    <t>Metal AccessoryRIVET</t>
  </si>
  <si>
    <t>Metal AccessorySCREW-19MM</t>
  </si>
  <si>
    <t>Metal AccessorySide Button Trolley</t>
  </si>
  <si>
    <t>Metal AccessorySlider#08_F87988SUN 580</t>
  </si>
  <si>
    <t>Metal AccessorySlider #10 No._CX7989SUN_580_Black-5%</t>
  </si>
  <si>
    <t>Metal AccessorySlider #8 No._C87988SUN_580_Black- 5%</t>
  </si>
  <si>
    <t>Metal AccessorySlider_#8 No.C819RCECOLONG-60GM-PCT-01-5%</t>
  </si>
  <si>
    <t>Metal AccessoryS.S WIRE 3mm</t>
  </si>
  <si>
    <t>Metal AccessorySTEEL RING</t>
  </si>
  <si>
    <t>Metal AccessoryYKK SLIDER RC 5 NO. CFC REVERSE BODY DFB2WEJ</t>
  </si>
  <si>
    <t xml:space="preserve">Metal AccessoryYKK SLIDER RC 5 NO. CFC REVERSE BODY DFB2WEJ- SHORT PULLER </t>
  </si>
  <si>
    <t xml:space="preserve">PolyesterPOLYESTER NIWAR 25 MM </t>
  </si>
  <si>
    <t>PPPP NIWAR</t>
  </si>
  <si>
    <t>NiwarCOTTON NIWAR- 48 mm beige</t>
  </si>
  <si>
    <t xml:space="preserve">NIWARNiwar_25mm Black_6gm/mtr </t>
  </si>
  <si>
    <t>NIWARNiwar_38mm Black_6gm/mtr</t>
  </si>
  <si>
    <t xml:space="preserve">NIWARNiwar_38mm Black_9gm/mtr </t>
  </si>
  <si>
    <t xml:space="preserve">NIWARniwar - plain piping 4 gram 240 mtr average </t>
  </si>
  <si>
    <t>NIWARPP NIWAR_10mm_Black</t>
  </si>
  <si>
    <t>NIWARPP Niwar_38mm_JLD_40mtr/kg</t>
  </si>
  <si>
    <t xml:space="preserve">NIWARDORI 5 PLY </t>
  </si>
  <si>
    <t xml:space="preserve">NIWAR25 MM PREMIUM SOFT 270 PER KG / 60 MTR </t>
  </si>
  <si>
    <t xml:space="preserve">NIWARPP NIWAR 25 MM 4.67 GRAM / 200 MTR PER KG BLACK </t>
  </si>
  <si>
    <t>Plastic Accessory Washer</t>
  </si>
  <si>
    <t>Plastic Accessory Bottom Stud Round Stand Black-Ff114</t>
  </si>
  <si>
    <t>Plastic Accessory Hook-Black - 38mm-Alpha</t>
  </si>
  <si>
    <t xml:space="preserve">Plastic Accessory D ring Flat - 25 mm Plastic </t>
  </si>
  <si>
    <t>Plastic Accessory 9 Line Pad</t>
  </si>
  <si>
    <t>Plastic Accessory ADJUSTER BUCKLE _20mm</t>
  </si>
  <si>
    <t>Plastic Accessory Bottom Stud-75mm</t>
  </si>
  <si>
    <t>Plastic Accessory Bottom Stud-Oval FCL_58mm</t>
  </si>
  <si>
    <t>Plastic Accessory Bottom Stud Small_Black</t>
  </si>
  <si>
    <t>Plastic Accessory Cord Lock-Oval</t>
  </si>
  <si>
    <t>Plastic Accessory Cord Lock-Round  FCL_Standard</t>
  </si>
  <si>
    <t>Plastic Accessory Cord Lock-Sleek</t>
  </si>
  <si>
    <t>Plastic Accessory Cord Lock-Ultra</t>
  </si>
  <si>
    <t>Plastic Accessory EP X P BRADING</t>
  </si>
  <si>
    <t>Plastic Accessory EP X PP SHEET</t>
  </si>
  <si>
    <t>Plastic Accessory Hand Puller</t>
  </si>
  <si>
    <t>Plastic Accessory Hook-Type 1_FF006</t>
  </si>
  <si>
    <t>Plastic Accessory Ladder Lock - Black -38mm - Leo</t>
  </si>
  <si>
    <t>Plastic Accessory LADDER LOCK FF</t>
  </si>
  <si>
    <t>Plastic Accessory LADDER LOCK SF</t>
  </si>
  <si>
    <t>Plastic Accessory Ladder Lock Virgo-20mm-Black</t>
  </si>
  <si>
    <t>Plastic Accessory Ladder Lock Virgo-25mm-Black</t>
  </si>
  <si>
    <t>Plastic Accessory LOOP BUCKLE ADJUSTER_25mm</t>
  </si>
  <si>
    <t>Plastic Accessory LOOP BUCKLE ADJUSTER_30mm</t>
  </si>
  <si>
    <t>Plastic Accessory POLO HANDLES BLACK</t>
  </si>
  <si>
    <t>Plastic Accessory POLYCARBONATE SHEET(MULTI WALL)</t>
  </si>
  <si>
    <t>Plastic Accessory Rectangle Buckle - Black - 38mm - Classic</t>
  </si>
  <si>
    <t>Plastic Accessory Rectangle Buckle - Black _25mm</t>
  </si>
  <si>
    <t>Plastic Accessory Rectangle Buckle - Black _50mm</t>
  </si>
  <si>
    <t>Plastic Accessory Rectangle Buckle - FF_30mm</t>
  </si>
  <si>
    <t>Plastic Accessory Round Bottom Stud Lug Soft-STD-Black</t>
  </si>
  <si>
    <t>Plastic Accessory RUBBER GROMMET PANEL</t>
  </si>
  <si>
    <t>Plastic Accessory SHOLDAR PAD FF-032_38mm</t>
  </si>
  <si>
    <t>Plastic Accessory SHOLDAR PAD_2inch</t>
  </si>
  <si>
    <t>Plastic Accessory Square Buckle - Black - 20mm</t>
  </si>
  <si>
    <t>Plastic Accessory Square Buckle - Black - 25mm</t>
  </si>
  <si>
    <t>Plastic Accessory Square Buckle - Black - 32mm</t>
  </si>
  <si>
    <t>Plastic Accessory Square Buckle - Black - 38mm - Classic</t>
  </si>
  <si>
    <t>Plastic Accessory Square Buckle - FF_Black- 20mm</t>
  </si>
  <si>
    <t>Plastic Accessory SQUARE BUCKLE IFC_25mm</t>
  </si>
  <si>
    <t>Plastic Accessory SR Clamp-Black -20mm - Draco</t>
  </si>
  <si>
    <t>Plastic Accessory SR Clamp-Black -25mm - Draco</t>
  </si>
  <si>
    <t>Plastic Accessory SR Clamp-Black -25mm - Indus</t>
  </si>
  <si>
    <t>Plastic Accessory SR Clamp-Black - 38mm - Draco</t>
  </si>
  <si>
    <t>Plastic Accessory SR Clamp-Black -38mm - Indus</t>
  </si>
  <si>
    <t>Plastic Accessory SR Clamp-Ultra  FF_25mm</t>
  </si>
  <si>
    <t>Plastic Accessory SR Clamp_20mm</t>
  </si>
  <si>
    <t>Plastic Accessory SR Clamp_25mm</t>
  </si>
  <si>
    <t>Plastic Accessory Triangle Buckle-N</t>
  </si>
  <si>
    <t>Plastic Accessory USB CHARGING  IFC</t>
  </si>
  <si>
    <t>Plastic Accessory USB Cord with Cover</t>
  </si>
  <si>
    <t>Thread2ply-3000mtr-Black/Z/Y8961/N150</t>
  </si>
  <si>
    <t>Thread3ply-1000mtr-Black/Z/Y8360/N125</t>
  </si>
  <si>
    <t>ThreadTHREAD FOR SACK SEWING</t>
  </si>
  <si>
    <t>ThreadThread_2Ply*100000mtr_Red/Z/TKT60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</si>
</sst>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1" xfId="0" applyBorder="1"/>
    <xf numFmtId="2" fontId="0" fillId="2" borderId="1" xfId="0" applyNumberFormat="1" applyFill="1" applyBorder="1"/>
    <xf numFmtId="0" fontId="0" fillId="3" borderId="1" xfId="0" applyFill="1" applyBorder="1"/>
    <xf numFmtId="2" fontId="0" fillId="3" borderId="1" xfId="0" applyNumberFormat="1" applyFill="1" applyBorder="1"/>
    <xf numFmtId="2" fontId="0" fillId="0" borderId="1" xfId="0" applyNumberFormat="1" applyBorder="1"/>
    <xf numFmtId="2" fontId="0" fillId="4" borderId="1" xfId="0" applyNumberFormat="1" applyFill="1" applyBorder="1"/>
    <xf numFmtId="0" fontId="0" fillId="2" borderId="1" xfId="0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2" borderId="0" xfId="0" applyFill="1"/>
    <xf numFmtId="2" fontId="0" fillId="0" borderId="0" xfId="0" applyNumberFormat="1"/>
    <xf numFmtId="0" fontId="0" fillId="0" borderId="0" xfId="0" applyAlignment="1">
      <alignment horizontal="left"/>
    </xf>
    <xf numFmtId="0" fontId="0" fillId="6" borderId="1" xfId="0" applyFill="1" applyBorder="1"/>
    <xf numFmtId="2" fontId="0" fillId="6" borderId="1" xfId="0" applyNumberForma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rd%20drive/ECO%20POLYPACK%20(P)%20LIMITED/STOCK%20MARCH%20END%202026/APRIL%202026/RAW_MATERIAL_STOCK_TILL_DATE_20042026/RAW%20MATERIAL%20STOCK%20TILL%20DATE%2020_04_2026/RAW%20MATERIAL%20STOCK%20TILL%20DATE%202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NING STOCK 20 APRIL 26"/>
      <sheetName val="INWARD TOTAL"/>
      <sheetName val="OUTWARD "/>
      <sheetName val="BALANCE "/>
    </sheetNames>
    <sheetDataSet>
      <sheetData sheetId="0">
        <row r="203">
          <cell r="B203" t="str">
            <v>Knitted Elastic -30 mm Black</v>
          </cell>
        </row>
      </sheetData>
      <sheetData sheetId="1">
        <row r="3">
          <cell r="H3">
            <v>44</v>
          </cell>
        </row>
        <row r="4">
          <cell r="H4">
            <v>26</v>
          </cell>
        </row>
        <row r="5">
          <cell r="H5">
            <v>240</v>
          </cell>
        </row>
        <row r="6">
          <cell r="H6">
            <v>288</v>
          </cell>
        </row>
        <row r="7">
          <cell r="H7">
            <v>5</v>
          </cell>
        </row>
        <row r="8">
          <cell r="H8">
            <v>240</v>
          </cell>
        </row>
        <row r="9">
          <cell r="H9">
            <v>17</v>
          </cell>
        </row>
        <row r="10">
          <cell r="H10">
            <v>194</v>
          </cell>
        </row>
        <row r="11">
          <cell r="H11">
            <v>11318</v>
          </cell>
        </row>
        <row r="12">
          <cell r="H12">
            <v>8</v>
          </cell>
        </row>
        <row r="13">
          <cell r="H13">
            <v>10</v>
          </cell>
        </row>
        <row r="14">
          <cell r="H14">
            <v>25</v>
          </cell>
        </row>
        <row r="15">
          <cell r="H15">
            <v>118</v>
          </cell>
        </row>
        <row r="16">
          <cell r="H16">
            <v>100</v>
          </cell>
        </row>
        <row r="17">
          <cell r="H17">
            <v>10000</v>
          </cell>
        </row>
        <row r="18">
          <cell r="H18">
            <v>106</v>
          </cell>
        </row>
        <row r="19">
          <cell r="H19">
            <v>316.834</v>
          </cell>
        </row>
        <row r="20">
          <cell r="H20">
            <v>450</v>
          </cell>
        </row>
        <row r="21">
          <cell r="H21">
            <v>150</v>
          </cell>
        </row>
        <row r="22">
          <cell r="H22">
            <v>3174</v>
          </cell>
        </row>
        <row r="23">
          <cell r="H23">
            <v>307</v>
          </cell>
        </row>
        <row r="24">
          <cell r="H24">
            <v>866</v>
          </cell>
        </row>
        <row r="25">
          <cell r="H25">
            <v>105</v>
          </cell>
        </row>
        <row r="26">
          <cell r="H26">
            <v>140</v>
          </cell>
        </row>
        <row r="27">
          <cell r="H27">
            <v>2</v>
          </cell>
        </row>
        <row r="28">
          <cell r="H28">
            <v>5</v>
          </cell>
        </row>
        <row r="29">
          <cell r="H29">
            <v>76</v>
          </cell>
        </row>
        <row r="30">
          <cell r="H30">
            <v>85</v>
          </cell>
        </row>
        <row r="31">
          <cell r="H31">
            <v>99601</v>
          </cell>
        </row>
        <row r="32">
          <cell r="H32">
            <v>23</v>
          </cell>
        </row>
        <row r="33">
          <cell r="H33">
            <v>39</v>
          </cell>
        </row>
        <row r="34">
          <cell r="H34">
            <v>51</v>
          </cell>
        </row>
        <row r="35">
          <cell r="H35">
            <v>38.5</v>
          </cell>
        </row>
        <row r="36">
          <cell r="H36">
            <v>376.3</v>
          </cell>
        </row>
        <row r="37">
          <cell r="H37">
            <v>100</v>
          </cell>
        </row>
        <row r="38">
          <cell r="H38">
            <v>420</v>
          </cell>
        </row>
        <row r="39">
          <cell r="H39">
            <v>10</v>
          </cell>
        </row>
        <row r="40">
          <cell r="H40">
            <v>10</v>
          </cell>
        </row>
        <row r="41">
          <cell r="H41">
            <v>10</v>
          </cell>
        </row>
        <row r="42">
          <cell r="H42">
            <v>115</v>
          </cell>
        </row>
        <row r="43">
          <cell r="H43">
            <v>200</v>
          </cell>
        </row>
        <row r="44">
          <cell r="H44">
            <v>163</v>
          </cell>
        </row>
        <row r="45">
          <cell r="H45">
            <v>45</v>
          </cell>
        </row>
        <row r="46">
          <cell r="H46">
            <v>30</v>
          </cell>
        </row>
        <row r="47">
          <cell r="H47">
            <v>10</v>
          </cell>
        </row>
        <row r="48">
          <cell r="H48">
            <v>10</v>
          </cell>
        </row>
        <row r="49">
          <cell r="H49">
            <v>42390</v>
          </cell>
        </row>
        <row r="50">
          <cell r="H50">
            <v>30</v>
          </cell>
        </row>
        <row r="51">
          <cell r="H51">
            <v>1300</v>
          </cell>
        </row>
        <row r="52">
          <cell r="H52">
            <v>616</v>
          </cell>
        </row>
        <row r="53">
          <cell r="H53">
            <v>35</v>
          </cell>
        </row>
        <row r="54">
          <cell r="H54">
            <v>150</v>
          </cell>
        </row>
        <row r="55">
          <cell r="H55">
            <v>62800</v>
          </cell>
        </row>
        <row r="56">
          <cell r="H56">
            <v>5</v>
          </cell>
        </row>
        <row r="57">
          <cell r="H57">
            <v>175.53299999999999</v>
          </cell>
        </row>
        <row r="58">
          <cell r="H58">
            <v>20835.2</v>
          </cell>
        </row>
        <row r="59">
          <cell r="H59">
            <v>100</v>
          </cell>
        </row>
        <row r="60">
          <cell r="H60">
            <v>260</v>
          </cell>
        </row>
        <row r="61">
          <cell r="H61">
            <v>9617</v>
          </cell>
        </row>
        <row r="62">
          <cell r="H62">
            <v>2520</v>
          </cell>
        </row>
        <row r="63">
          <cell r="H63">
            <v>526.34399999999994</v>
          </cell>
        </row>
        <row r="64">
          <cell r="H64">
            <v>197.52</v>
          </cell>
        </row>
        <row r="65">
          <cell r="H65">
            <v>336.53800000000001</v>
          </cell>
        </row>
        <row r="66">
          <cell r="H66">
            <v>15805</v>
          </cell>
        </row>
        <row r="67">
          <cell r="H67">
            <v>2250</v>
          </cell>
        </row>
        <row r="68">
          <cell r="H68">
            <v>10800</v>
          </cell>
        </row>
        <row r="69">
          <cell r="H69">
            <v>546</v>
          </cell>
        </row>
        <row r="70">
          <cell r="H70">
            <v>1973.1100000000001</v>
          </cell>
        </row>
        <row r="71">
          <cell r="H71">
            <v>40</v>
          </cell>
        </row>
        <row r="72">
          <cell r="H72">
            <v>12000</v>
          </cell>
        </row>
        <row r="73">
          <cell r="H73">
            <v>12000</v>
          </cell>
        </row>
        <row r="74">
          <cell r="H74">
            <v>5.8979999999999997</v>
          </cell>
        </row>
        <row r="75">
          <cell r="H75">
            <v>137.636</v>
          </cell>
        </row>
        <row r="76">
          <cell r="H76">
            <v>5222</v>
          </cell>
        </row>
        <row r="77">
          <cell r="H77">
            <v>5222</v>
          </cell>
        </row>
        <row r="78">
          <cell r="H78">
            <v>10444</v>
          </cell>
        </row>
        <row r="79">
          <cell r="H79">
            <v>20888</v>
          </cell>
        </row>
        <row r="80">
          <cell r="H80">
            <v>2747</v>
          </cell>
        </row>
        <row r="81">
          <cell r="H81">
            <v>22000</v>
          </cell>
        </row>
        <row r="82">
          <cell r="H82">
            <v>1800</v>
          </cell>
        </row>
        <row r="83">
          <cell r="H83">
            <v>2353.364</v>
          </cell>
        </row>
        <row r="84">
          <cell r="H84">
            <v>61444</v>
          </cell>
        </row>
        <row r="85">
          <cell r="H85">
            <v>83150</v>
          </cell>
        </row>
        <row r="86">
          <cell r="H86">
            <v>46222</v>
          </cell>
        </row>
        <row r="87">
          <cell r="H87">
            <v>3581</v>
          </cell>
        </row>
        <row r="88">
          <cell r="H88">
            <v>230</v>
          </cell>
        </row>
        <row r="89">
          <cell r="H89">
            <v>617</v>
          </cell>
        </row>
        <row r="90">
          <cell r="H90">
            <v>75</v>
          </cell>
        </row>
        <row r="91">
          <cell r="H91">
            <v>354</v>
          </cell>
        </row>
        <row r="92">
          <cell r="H92">
            <v>885</v>
          </cell>
        </row>
        <row r="93">
          <cell r="H93">
            <v>140.19999999999999</v>
          </cell>
        </row>
        <row r="94">
          <cell r="H94">
            <v>950</v>
          </cell>
        </row>
        <row r="95">
          <cell r="H95">
            <v>21445</v>
          </cell>
        </row>
        <row r="96">
          <cell r="H96">
            <v>360</v>
          </cell>
        </row>
        <row r="97">
          <cell r="H97">
            <v>800</v>
          </cell>
        </row>
        <row r="98">
          <cell r="H98">
            <v>340</v>
          </cell>
        </row>
        <row r="99">
          <cell r="H99">
            <v>100</v>
          </cell>
        </row>
        <row r="100">
          <cell r="H100">
            <v>10</v>
          </cell>
        </row>
        <row r="101">
          <cell r="H101">
            <v>10</v>
          </cell>
        </row>
        <row r="102">
          <cell r="H102">
            <v>7403</v>
          </cell>
        </row>
        <row r="103">
          <cell r="H103">
            <v>2596</v>
          </cell>
        </row>
        <row r="104">
          <cell r="H104">
            <v>960</v>
          </cell>
        </row>
        <row r="105">
          <cell r="H105">
            <v>191560</v>
          </cell>
        </row>
        <row r="106">
          <cell r="H106">
            <v>224</v>
          </cell>
        </row>
        <row r="107">
          <cell r="H107">
            <v>450</v>
          </cell>
        </row>
        <row r="108">
          <cell r="H108">
            <v>507</v>
          </cell>
        </row>
        <row r="109">
          <cell r="H109">
            <v>701</v>
          </cell>
        </row>
        <row r="110">
          <cell r="H110">
            <v>60</v>
          </cell>
        </row>
        <row r="111">
          <cell r="H111">
            <v>520</v>
          </cell>
        </row>
        <row r="112">
          <cell r="H112">
            <v>80</v>
          </cell>
        </row>
        <row r="113">
          <cell r="H113">
            <v>21934</v>
          </cell>
        </row>
        <row r="114">
          <cell r="H114">
            <v>59000</v>
          </cell>
        </row>
        <row r="115">
          <cell r="H115">
            <v>1228</v>
          </cell>
        </row>
        <row r="116">
          <cell r="H116">
            <v>8</v>
          </cell>
        </row>
        <row r="117">
          <cell r="H117">
            <v>110</v>
          </cell>
        </row>
        <row r="118">
          <cell r="H118">
            <v>37</v>
          </cell>
        </row>
        <row r="119">
          <cell r="H119">
            <v>30</v>
          </cell>
        </row>
        <row r="120">
          <cell r="H120">
            <v>17.8</v>
          </cell>
        </row>
        <row r="121">
          <cell r="H121">
            <v>96571</v>
          </cell>
        </row>
        <row r="122">
          <cell r="H122">
            <v>30</v>
          </cell>
        </row>
        <row r="123">
          <cell r="H123">
            <v>6</v>
          </cell>
        </row>
        <row r="124">
          <cell r="H124">
            <v>4</v>
          </cell>
        </row>
        <row r="125">
          <cell r="H125">
            <v>7</v>
          </cell>
        </row>
        <row r="126">
          <cell r="H126">
            <v>2920</v>
          </cell>
        </row>
        <row r="127">
          <cell r="H127">
            <v>93</v>
          </cell>
        </row>
        <row r="128">
          <cell r="H128">
            <v>518</v>
          </cell>
        </row>
        <row r="129">
          <cell r="H129">
            <v>336</v>
          </cell>
        </row>
        <row r="130">
          <cell r="H130">
            <v>78</v>
          </cell>
        </row>
        <row r="131">
          <cell r="H131">
            <v>67</v>
          </cell>
        </row>
        <row r="132">
          <cell r="H132">
            <v>167</v>
          </cell>
        </row>
        <row r="133">
          <cell r="H133">
            <v>4</v>
          </cell>
        </row>
        <row r="134">
          <cell r="H134">
            <v>23</v>
          </cell>
        </row>
        <row r="135">
          <cell r="H135">
            <v>11</v>
          </cell>
        </row>
        <row r="136">
          <cell r="H136">
            <v>1290</v>
          </cell>
        </row>
        <row r="137">
          <cell r="H137">
            <v>46</v>
          </cell>
        </row>
        <row r="138">
          <cell r="H138">
            <v>294</v>
          </cell>
        </row>
        <row r="139">
          <cell r="H139">
            <v>6</v>
          </cell>
        </row>
        <row r="140">
          <cell r="H140">
            <v>145</v>
          </cell>
        </row>
        <row r="141">
          <cell r="H141">
            <v>8</v>
          </cell>
        </row>
        <row r="142">
          <cell r="H142">
            <v>45</v>
          </cell>
        </row>
        <row r="143">
          <cell r="H143">
            <v>15</v>
          </cell>
        </row>
        <row r="144">
          <cell r="H144">
            <v>12</v>
          </cell>
        </row>
        <row r="145">
          <cell r="H145">
            <v>30</v>
          </cell>
        </row>
        <row r="146">
          <cell r="H146">
            <v>60</v>
          </cell>
        </row>
        <row r="147">
          <cell r="H147">
            <v>10</v>
          </cell>
        </row>
        <row r="148">
          <cell r="H148">
            <v>10</v>
          </cell>
        </row>
        <row r="149">
          <cell r="H149">
            <v>60</v>
          </cell>
        </row>
        <row r="150">
          <cell r="H150">
            <v>30</v>
          </cell>
        </row>
        <row r="151">
          <cell r="H151">
            <v>12</v>
          </cell>
        </row>
        <row r="152">
          <cell r="H152">
            <v>30</v>
          </cell>
        </row>
        <row r="153">
          <cell r="H153">
            <v>10</v>
          </cell>
        </row>
        <row r="154">
          <cell r="H154">
            <v>933</v>
          </cell>
        </row>
        <row r="155">
          <cell r="H155">
            <v>35</v>
          </cell>
        </row>
        <row r="156">
          <cell r="H156">
            <v>20</v>
          </cell>
        </row>
        <row r="157">
          <cell r="H157">
            <v>2500</v>
          </cell>
        </row>
        <row r="158">
          <cell r="H158">
            <v>25</v>
          </cell>
        </row>
        <row r="159">
          <cell r="H159">
            <v>25</v>
          </cell>
        </row>
        <row r="160">
          <cell r="H160">
            <v>25</v>
          </cell>
        </row>
        <row r="161">
          <cell r="H161">
            <v>25</v>
          </cell>
        </row>
        <row r="162">
          <cell r="H162">
            <v>25</v>
          </cell>
        </row>
        <row r="163">
          <cell r="H163">
            <v>25</v>
          </cell>
        </row>
        <row r="164">
          <cell r="H164">
            <v>99300</v>
          </cell>
        </row>
        <row r="165">
          <cell r="H165">
            <v>100</v>
          </cell>
        </row>
        <row r="166">
          <cell r="H166">
            <v>100</v>
          </cell>
        </row>
        <row r="167">
          <cell r="H167">
            <v>18200</v>
          </cell>
        </row>
        <row r="168">
          <cell r="H168">
            <v>400</v>
          </cell>
        </row>
        <row r="169">
          <cell r="H169">
            <v>150</v>
          </cell>
        </row>
        <row r="170">
          <cell r="H170">
            <v>50</v>
          </cell>
        </row>
        <row r="171">
          <cell r="H171">
            <v>25</v>
          </cell>
        </row>
        <row r="172">
          <cell r="H172">
            <v>25</v>
          </cell>
        </row>
        <row r="173">
          <cell r="H173">
            <v>25</v>
          </cell>
        </row>
        <row r="174">
          <cell r="H174">
            <v>106725</v>
          </cell>
        </row>
        <row r="175">
          <cell r="H175">
            <v>100</v>
          </cell>
        </row>
        <row r="176">
          <cell r="H176">
            <v>175</v>
          </cell>
        </row>
        <row r="177">
          <cell r="H177">
            <v>21250</v>
          </cell>
        </row>
        <row r="178">
          <cell r="H178">
            <v>200</v>
          </cell>
        </row>
        <row r="179">
          <cell r="H179">
            <v>2800</v>
          </cell>
        </row>
        <row r="180">
          <cell r="H180">
            <v>400</v>
          </cell>
        </row>
        <row r="181">
          <cell r="H181">
            <v>6573</v>
          </cell>
        </row>
        <row r="182">
          <cell r="H182">
            <v>14</v>
          </cell>
        </row>
        <row r="183">
          <cell r="H183">
            <v>299</v>
          </cell>
        </row>
        <row r="184">
          <cell r="H184">
            <v>205</v>
          </cell>
        </row>
        <row r="185">
          <cell r="H185">
            <v>30</v>
          </cell>
        </row>
        <row r="186">
          <cell r="H186">
            <v>1300</v>
          </cell>
        </row>
        <row r="187">
          <cell r="H187">
            <v>60</v>
          </cell>
        </row>
        <row r="188">
          <cell r="H188">
            <v>1778</v>
          </cell>
        </row>
        <row r="189">
          <cell r="H189">
            <v>60708.6</v>
          </cell>
        </row>
        <row r="190">
          <cell r="H190">
            <v>8</v>
          </cell>
        </row>
        <row r="191">
          <cell r="H191">
            <v>468</v>
          </cell>
        </row>
        <row r="192">
          <cell r="H192">
            <v>500</v>
          </cell>
        </row>
        <row r="193">
          <cell r="H193">
            <v>1</v>
          </cell>
        </row>
        <row r="194">
          <cell r="H194">
            <v>52</v>
          </cell>
        </row>
        <row r="195">
          <cell r="H195">
            <v>17</v>
          </cell>
        </row>
        <row r="196">
          <cell r="H196">
            <v>5</v>
          </cell>
        </row>
        <row r="197">
          <cell r="H197">
            <v>10</v>
          </cell>
        </row>
        <row r="198">
          <cell r="H198">
            <v>2</v>
          </cell>
        </row>
        <row r="199">
          <cell r="H199">
            <v>1</v>
          </cell>
        </row>
        <row r="200">
          <cell r="H200">
            <v>1</v>
          </cell>
        </row>
        <row r="201">
          <cell r="H201">
            <v>13</v>
          </cell>
        </row>
        <row r="202">
          <cell r="H202">
            <v>141</v>
          </cell>
        </row>
        <row r="203">
          <cell r="H203">
            <v>16440</v>
          </cell>
        </row>
        <row r="204">
          <cell r="H204">
            <v>65000</v>
          </cell>
        </row>
        <row r="205">
          <cell r="H205">
            <v>65900</v>
          </cell>
        </row>
        <row r="206">
          <cell r="H206">
            <v>17318</v>
          </cell>
        </row>
        <row r="207">
          <cell r="H207">
            <v>68909</v>
          </cell>
        </row>
        <row r="208">
          <cell r="H208">
            <v>140000</v>
          </cell>
        </row>
        <row r="209">
          <cell r="H209">
            <v>310500</v>
          </cell>
        </row>
        <row r="210">
          <cell r="G210">
            <v>200</v>
          </cell>
        </row>
        <row r="211">
          <cell r="H211"/>
        </row>
        <row r="212">
          <cell r="H212"/>
        </row>
        <row r="213">
          <cell r="H213"/>
        </row>
        <row r="214">
          <cell r="H214"/>
        </row>
        <row r="215">
          <cell r="H215"/>
        </row>
        <row r="216">
          <cell r="H216"/>
        </row>
        <row r="217">
          <cell r="H217"/>
        </row>
        <row r="218">
          <cell r="H218"/>
        </row>
        <row r="219">
          <cell r="H219">
            <v>800</v>
          </cell>
        </row>
        <row r="220">
          <cell r="H220">
            <v>3100</v>
          </cell>
        </row>
      </sheetData>
      <sheetData sheetId="2">
        <row r="2">
          <cell r="A2" t="str">
            <v xml:space="preserve">Category </v>
          </cell>
          <cell r="B2" t="str">
            <v>ITEM NAME</v>
          </cell>
          <cell r="C2" t="str">
            <v>QTY</v>
          </cell>
        </row>
        <row r="3">
          <cell r="A3" t="str">
            <v>NIWAR</v>
          </cell>
          <cell r="B3" t="str">
            <v xml:space="preserve">POLYESTER NIWAR 25 MM </v>
          </cell>
          <cell r="C3">
            <v>44</v>
          </cell>
        </row>
        <row r="4">
          <cell r="A4" t="str">
            <v>NIWAR</v>
          </cell>
          <cell r="B4" t="str">
            <v>PP NIWAR</v>
          </cell>
          <cell r="C4">
            <v>26</v>
          </cell>
        </row>
        <row r="5">
          <cell r="A5" t="str">
            <v>Thread</v>
          </cell>
          <cell r="B5" t="str">
            <v>2ply-3000mtr-Black/Z/Y8961/N150</v>
          </cell>
          <cell r="C5">
            <v>240</v>
          </cell>
        </row>
        <row r="6">
          <cell r="A6" t="str">
            <v>Thread</v>
          </cell>
          <cell r="B6" t="str">
            <v>3ply-1000mtr-Black/Z/Y8360/N125</v>
          </cell>
          <cell r="C6">
            <v>288</v>
          </cell>
        </row>
        <row r="7">
          <cell r="A7" t="str">
            <v>Fabric</v>
          </cell>
          <cell r="B7" t="str">
            <v>420 D NYLON BLACK PU COATED</v>
          </cell>
        </row>
        <row r="8">
          <cell r="A8" t="str">
            <v xml:space="preserve">Plastic Accessory </v>
          </cell>
          <cell r="B8" t="str">
            <v>9 Line Pad</v>
          </cell>
        </row>
        <row r="9">
          <cell r="A9" t="str">
            <v xml:space="preserve">Stationary </v>
          </cell>
          <cell r="B9" t="str">
            <v>A/4 Sticker Label (White)</v>
          </cell>
        </row>
        <row r="10">
          <cell r="A10" t="str">
            <v xml:space="preserve">Plastic Accessory </v>
          </cell>
          <cell r="B10" t="str">
            <v>ADJUSTER BUCKLE _20mm</v>
          </cell>
        </row>
        <row r="11">
          <cell r="A11" t="str">
            <v>Fabric</v>
          </cell>
          <cell r="B11" t="str">
            <v>Airmesh_60"x65mtr_120GSM_Black</v>
          </cell>
          <cell r="C11">
            <v>4390</v>
          </cell>
        </row>
        <row r="12">
          <cell r="A12" t="str">
            <v>Metal Accessory</v>
          </cell>
          <cell r="B12" t="str">
            <v>ALUMINIUM EXTRUDED PROFILE</v>
          </cell>
        </row>
        <row r="13">
          <cell r="A13" t="str">
            <v>Metal Accessory</v>
          </cell>
          <cell r="B13" t="str">
            <v>Aluminium Pipe Trolley Orgin</v>
          </cell>
        </row>
        <row r="14">
          <cell r="A14" t="str">
            <v>Fabric</v>
          </cell>
          <cell r="B14" t="str">
            <v>BOPP DHPE/PP WOVEN LAM FABRIC</v>
          </cell>
        </row>
        <row r="15">
          <cell r="A15" t="str">
            <v xml:space="preserve">Plastic Accessory </v>
          </cell>
          <cell r="B15" t="str">
            <v>Bottom Stud-75mm</v>
          </cell>
        </row>
        <row r="16">
          <cell r="A16" t="str">
            <v xml:space="preserve">Plastic Accessory </v>
          </cell>
          <cell r="B16" t="str">
            <v>Bottom Stud-Oval FCL_58mm</v>
          </cell>
          <cell r="C16">
            <v>118</v>
          </cell>
        </row>
        <row r="17">
          <cell r="A17" t="str">
            <v xml:space="preserve">Plastic Accessory </v>
          </cell>
          <cell r="B17" t="str">
            <v>Bottom Stud Small_Black</v>
          </cell>
          <cell r="C17">
            <v>9000</v>
          </cell>
        </row>
        <row r="18">
          <cell r="A18" t="str">
            <v xml:space="preserve">Hard Sheets </v>
          </cell>
          <cell r="B18" t="str">
            <v>Bubble Guard_1300mm*2000mm_1200GSM_Blue</v>
          </cell>
        </row>
        <row r="19">
          <cell r="A19" t="str">
            <v>Fabric</v>
          </cell>
          <cell r="B19" t="str">
            <v>CF_58"x50mtr_PVC Cherry Cord_6x2_ 400GSM_Black-5%</v>
          </cell>
          <cell r="C19">
            <v>310</v>
          </cell>
        </row>
        <row r="20">
          <cell r="A20" t="str">
            <v>Fabric</v>
          </cell>
          <cell r="B20" t="str">
            <v>CF_58"x50mtr_PVC Cherry Cord_6x2_400GSM_Navyblue-5%</v>
          </cell>
        </row>
        <row r="21">
          <cell r="A21" t="str">
            <v>Fabric</v>
          </cell>
          <cell r="B21" t="str">
            <v>CF_58"x50mtr_PVC Cherry Cord_6x2_ 400GSM_RED+WR- 5%</v>
          </cell>
          <cell r="C21">
            <v>150</v>
          </cell>
        </row>
        <row r="22">
          <cell r="A22" t="str">
            <v>Fabric</v>
          </cell>
          <cell r="B22" t="str">
            <v>CF_60" 24No Cord_PU Coated_Black</v>
          </cell>
          <cell r="C22">
            <v>3174</v>
          </cell>
        </row>
        <row r="23">
          <cell r="A23" t="str">
            <v xml:space="preserve">Plastic Accessory </v>
          </cell>
          <cell r="B23" t="str">
            <v>Cord Lock-Oval</v>
          </cell>
          <cell r="C23">
            <v>-250</v>
          </cell>
        </row>
        <row r="24">
          <cell r="A24" t="str">
            <v xml:space="preserve">Plastic Accessory </v>
          </cell>
          <cell r="B24" t="str">
            <v>Cord Lock-Round  FCL_Standard</v>
          </cell>
        </row>
        <row r="25">
          <cell r="A25" t="str">
            <v xml:space="preserve">Plastic Accessory </v>
          </cell>
          <cell r="B25" t="str">
            <v>Cord Lock-Sleek</v>
          </cell>
        </row>
        <row r="26">
          <cell r="A26" t="str">
            <v xml:space="preserve">Plastic Accessory </v>
          </cell>
          <cell r="B26" t="str">
            <v>Cord Lock-Ultra</v>
          </cell>
        </row>
        <row r="27">
          <cell r="A27" t="str">
            <v>NIWAR</v>
          </cell>
          <cell r="B27" t="str">
            <v>COTTON NIWAR- 48 mm beige</v>
          </cell>
        </row>
        <row r="28">
          <cell r="A28" t="str">
            <v>Tool</v>
          </cell>
          <cell r="B28" t="str">
            <v>Die_13mm_BT5_Plastic Snap Button</v>
          </cell>
        </row>
        <row r="29">
          <cell r="A29" t="str">
            <v>Metal Accessory</v>
          </cell>
          <cell r="B29" t="str">
            <v>D Ring "Polo"</v>
          </cell>
        </row>
        <row r="30">
          <cell r="A30" t="str">
            <v>Metal Accessory</v>
          </cell>
          <cell r="B30" t="str">
            <v>D_Ring_20mm Black_with Powder Coating_4mm</v>
          </cell>
        </row>
        <row r="31">
          <cell r="A31" t="str">
            <v>Metal Accessory</v>
          </cell>
          <cell r="B31" t="str">
            <v>D_Ring_25mm Black_with Powder Coating_4mm-5%</v>
          </cell>
          <cell r="C31">
            <v>62906</v>
          </cell>
        </row>
        <row r="32">
          <cell r="A32" t="str">
            <v>Foam</v>
          </cell>
          <cell r="B32" t="str">
            <v>EPE Rolls 1400 mm-10_mm-Black</v>
          </cell>
        </row>
        <row r="33">
          <cell r="A33" t="str">
            <v>Foam</v>
          </cell>
          <cell r="B33" t="str">
            <v>EPE Rolls 1400 mm-5 mm D/L-NAT</v>
          </cell>
        </row>
        <row r="34">
          <cell r="A34" t="str">
            <v>Foam</v>
          </cell>
          <cell r="B34" t="str">
            <v>EPE Rolls 1400 mm-8 mm-Black</v>
          </cell>
        </row>
        <row r="35">
          <cell r="A35" t="str">
            <v>Foam</v>
          </cell>
          <cell r="B35" t="str">
            <v>EPE Rolls 1500 mm-3_mm-Black</v>
          </cell>
        </row>
        <row r="36">
          <cell r="A36" t="str">
            <v xml:space="preserve">Plastic Accessory </v>
          </cell>
          <cell r="B36" t="str">
            <v>EP X P BRADING</v>
          </cell>
        </row>
        <row r="37">
          <cell r="A37" t="str">
            <v xml:space="preserve">Plastic Accessory </v>
          </cell>
          <cell r="B37" t="str">
            <v>EP X PP SHEET</v>
          </cell>
        </row>
        <row r="38">
          <cell r="A38" t="str">
            <v>Foam</v>
          </cell>
          <cell r="B38" t="str">
            <v>EVA- Foam</v>
          </cell>
        </row>
        <row r="39">
          <cell r="A39" t="str">
            <v>Metal Accessory</v>
          </cell>
          <cell r="B39" t="str">
            <v>Expandeble Trolley</v>
          </cell>
        </row>
        <row r="40">
          <cell r="A40" t="str">
            <v>Fabric</v>
          </cell>
          <cell r="B40" t="str">
            <v>GUCCHI MATTY COATED_BLACK_59031010</v>
          </cell>
        </row>
        <row r="41">
          <cell r="A41" t="str">
            <v>Fabric</v>
          </cell>
          <cell r="B41" t="str">
            <v>GUCCHI MATTY_BLACK_54071019</v>
          </cell>
        </row>
        <row r="42">
          <cell r="A42" t="str">
            <v xml:space="preserve">Plastic Accessory </v>
          </cell>
          <cell r="B42" t="str">
            <v>Hand Puller</v>
          </cell>
        </row>
        <row r="43">
          <cell r="A43" t="str">
            <v>Fabric</v>
          </cell>
          <cell r="B43" t="str">
            <v>Heat Insulation Sheet- (SQM)</v>
          </cell>
        </row>
        <row r="44">
          <cell r="A44" t="str">
            <v xml:space="preserve">Plastic Accessory </v>
          </cell>
          <cell r="B44" t="str">
            <v>Hook-Type 1_FF006</v>
          </cell>
        </row>
        <row r="45">
          <cell r="A45" t="str">
            <v xml:space="preserve">Elastic </v>
          </cell>
          <cell r="B45" t="str">
            <v>Knitted Elastic -10 mm White</v>
          </cell>
        </row>
        <row r="46">
          <cell r="A46" t="str">
            <v xml:space="preserve">Elastic </v>
          </cell>
          <cell r="B46" t="str">
            <v>Knitted Elastic -15 mm Black</v>
          </cell>
        </row>
        <row r="47">
          <cell r="A47" t="str">
            <v xml:space="preserve">Elastic </v>
          </cell>
          <cell r="B47" t="str">
            <v>Knitted Elastic -15 mm Grey</v>
          </cell>
        </row>
        <row r="48">
          <cell r="A48" t="str">
            <v xml:space="preserve">Elastic </v>
          </cell>
          <cell r="B48" t="str">
            <v>Knitted Elastic -20 mm Black</v>
          </cell>
        </row>
        <row r="49">
          <cell r="A49" t="str">
            <v xml:space="preserve">Elastic </v>
          </cell>
          <cell r="B49" t="str">
            <v>Knitted Elastic -25 mm Black</v>
          </cell>
          <cell r="C49">
            <v>17940</v>
          </cell>
        </row>
        <row r="50">
          <cell r="A50" t="str">
            <v xml:space="preserve">Elastic </v>
          </cell>
          <cell r="B50" t="str">
            <v>Knitted Elastic -38 mm Red</v>
          </cell>
          <cell r="C50">
            <v>0</v>
          </cell>
        </row>
        <row r="51">
          <cell r="A51" t="str">
            <v xml:space="preserve">Plastic Accessory </v>
          </cell>
          <cell r="B51" t="str">
            <v>Ladder Lock - Black -38mm - Leo</v>
          </cell>
        </row>
        <row r="52">
          <cell r="A52" t="str">
            <v xml:space="preserve">Plastic Accessory </v>
          </cell>
          <cell r="B52" t="str">
            <v>LADDER LOCK FF</v>
          </cell>
        </row>
        <row r="53">
          <cell r="A53" t="str">
            <v xml:space="preserve">Plastic Accessory </v>
          </cell>
          <cell r="B53" t="str">
            <v>LADDER LOCK SF</v>
          </cell>
        </row>
        <row r="54">
          <cell r="A54" t="str">
            <v xml:space="preserve">Plastic Accessory </v>
          </cell>
          <cell r="B54" t="str">
            <v>Ladder Lock Virgo-20mm-Black</v>
          </cell>
          <cell r="C54">
            <v>2044</v>
          </cell>
        </row>
        <row r="55">
          <cell r="A55" t="str">
            <v xml:space="preserve">Plastic Accessory </v>
          </cell>
          <cell r="B55" t="str">
            <v>Ladder Lock Virgo-25mm-Black</v>
          </cell>
          <cell r="C55">
            <v>30100</v>
          </cell>
        </row>
        <row r="56">
          <cell r="A56" t="str">
            <v>Foam</v>
          </cell>
          <cell r="B56" t="str">
            <v>Laminated Eva Fabric_5%</v>
          </cell>
        </row>
        <row r="57">
          <cell r="A57" t="str">
            <v>Poly</v>
          </cell>
          <cell r="B57" t="str">
            <v>LD_POLY_20 X 24 Inch_160 Gauge</v>
          </cell>
        </row>
        <row r="58">
          <cell r="A58" t="str">
            <v>Fabric</v>
          </cell>
          <cell r="B58" t="str">
            <v>LINER BLACK 190T</v>
          </cell>
          <cell r="C58">
            <v>20635</v>
          </cell>
        </row>
        <row r="59">
          <cell r="A59" t="str">
            <v xml:space="preserve">Plastic Accessory </v>
          </cell>
          <cell r="B59" t="str">
            <v>LOOP BUCKLE ADJUSTER_25mm</v>
          </cell>
        </row>
        <row r="60">
          <cell r="A60" t="str">
            <v xml:space="preserve">Plastic Accessory </v>
          </cell>
          <cell r="B60" t="str">
            <v>LOOP BUCKLE ADJUSTER_30mm</v>
          </cell>
        </row>
        <row r="61">
          <cell r="A61" t="str">
            <v>Fabric</v>
          </cell>
          <cell r="B61" t="str">
            <v xml:space="preserve">Matty 2x2 – with PVC lamination L yellow </v>
          </cell>
          <cell r="C61">
            <v>9367</v>
          </cell>
        </row>
        <row r="62">
          <cell r="A62" t="str">
            <v>Fabric</v>
          </cell>
          <cell r="B62" t="str">
            <v>Matty Apc - 54071019</v>
          </cell>
          <cell r="C62">
            <v>2519.8000000000002</v>
          </cell>
        </row>
        <row r="63">
          <cell r="A63" t="str">
            <v>NIWAR</v>
          </cell>
          <cell r="B63" t="str">
            <v>Niwar_25mm Black_6gm/mtr BASKET</v>
          </cell>
          <cell r="C63">
            <v>524.5</v>
          </cell>
        </row>
        <row r="64">
          <cell r="A64" t="str">
            <v>NIWAR</v>
          </cell>
          <cell r="B64" t="str">
            <v>Niwar_38mm Black_6gm/mtr</v>
          </cell>
          <cell r="C64">
            <v>39</v>
          </cell>
        </row>
        <row r="65">
          <cell r="A65" t="str">
            <v>NIWAR</v>
          </cell>
          <cell r="B65" t="str">
            <v>Niwar_38mm Black_9gm/mtr poly</v>
          </cell>
          <cell r="C65">
            <v>123.14</v>
          </cell>
        </row>
        <row r="66">
          <cell r="A66" t="str">
            <v>Metal Accessory</v>
          </cell>
          <cell r="B66" t="str">
            <v>No.8 CFC Non Lock D Puller</v>
          </cell>
        </row>
        <row r="67">
          <cell r="A67" t="str">
            <v>Poly</v>
          </cell>
          <cell r="B67" t="str">
            <v>Plane LDPE Poly Bag_31"x40"x240G</v>
          </cell>
        </row>
        <row r="68">
          <cell r="A68" t="str">
            <v xml:space="preserve">Plastic Accessory </v>
          </cell>
          <cell r="B68" t="str">
            <v>POLO HANDLES BLACK</v>
          </cell>
          <cell r="C68">
            <v>5500</v>
          </cell>
        </row>
        <row r="69">
          <cell r="A69" t="str">
            <v xml:space="preserve">Plastic Accessory </v>
          </cell>
          <cell r="B69" t="str">
            <v>POLYCARBONATE SHEET(MULTI WALL)</v>
          </cell>
          <cell r="C69">
            <v>144.55000000000001</v>
          </cell>
        </row>
        <row r="70">
          <cell r="A70" t="str">
            <v>NIWAR</v>
          </cell>
          <cell r="B70" t="str">
            <v xml:space="preserve">niwar - plain piping 4 gram 240 mtr average </v>
          </cell>
          <cell r="C70">
            <v>2264.0099999999998</v>
          </cell>
        </row>
        <row r="71">
          <cell r="A71" t="str">
            <v xml:space="preserve">Hard Sheets </v>
          </cell>
          <cell r="B71" t="str">
            <v>PP Corrugated Sheet_1220mm*1800mm_700 GSM_4mm_Grey</v>
          </cell>
        </row>
        <row r="72">
          <cell r="A72" t="str">
            <v xml:space="preserve">Hard Sheets </v>
          </cell>
          <cell r="B72" t="str">
            <v>PP Corrugated Sheet_356* mm*381mm_900 GSM_5mm_Grey</v>
          </cell>
        </row>
        <row r="73">
          <cell r="A73" t="str">
            <v xml:space="preserve">Hard Sheets </v>
          </cell>
          <cell r="B73" t="str">
            <v>PP Corrugated Sheet_381* mm*369mm_900 GSM_5mm_Grey</v>
          </cell>
        </row>
        <row r="74">
          <cell r="A74" t="str">
            <v>NIWAR</v>
          </cell>
          <cell r="B74" t="str">
            <v>PP NIWAR_10mm_Black</v>
          </cell>
          <cell r="C74">
            <v>5.9</v>
          </cell>
        </row>
        <row r="75">
          <cell r="A75" t="str">
            <v>NIWAR</v>
          </cell>
          <cell r="B75" t="str">
            <v>PP Niwar_38mm_JLD_40mtr/kg</v>
          </cell>
          <cell r="C75">
            <v>100.84</v>
          </cell>
        </row>
        <row r="76">
          <cell r="A76" t="str">
            <v xml:space="preserve">Hard Sheets </v>
          </cell>
          <cell r="B76" t="str">
            <v>Pp Sheet 4 mm 700 Gsm Size L 14.5xW12"</v>
          </cell>
        </row>
        <row r="77">
          <cell r="A77" t="str">
            <v xml:space="preserve">Hard Sheets </v>
          </cell>
          <cell r="B77" t="str">
            <v>Pp Sheet 4 mm 700 Gsm Size L 14 x W11.5"</v>
          </cell>
        </row>
        <row r="78">
          <cell r="A78" t="str">
            <v xml:space="preserve">Hard Sheets </v>
          </cell>
          <cell r="B78" t="str">
            <v>Pp Sheet 4 mm 700 Gsm Size L 18.25"xW14.5"</v>
          </cell>
        </row>
        <row r="79">
          <cell r="A79" t="str">
            <v xml:space="preserve">Hard Sheets </v>
          </cell>
          <cell r="B79" t="str">
            <v>Pp Sheet 4 mm 700 Gsm Size L 18.25"xW5.5"</v>
          </cell>
        </row>
        <row r="80">
          <cell r="A80" t="str">
            <v xml:space="preserve">Hard Sheets </v>
          </cell>
          <cell r="B80" t="str">
            <v>PP Sheet_279.40mm*127mm_Black_Thickness_1.25mm_1200GSM</v>
          </cell>
        </row>
        <row r="81">
          <cell r="A81" t="str">
            <v>Poly</v>
          </cell>
          <cell r="B81" t="str">
            <v>PRINTED POLYTHENE BAGS_12X16X240G MILKY</v>
          </cell>
        </row>
        <row r="82">
          <cell r="A82" t="str">
            <v>Fabric</v>
          </cell>
          <cell r="B82" t="str">
            <v>PU COATED FABRIC_450 x 450 Matty_Purple_Shade -6268</v>
          </cell>
          <cell r="C82">
            <v>1480</v>
          </cell>
        </row>
        <row r="83">
          <cell r="A83" t="str">
            <v>Fabric</v>
          </cell>
          <cell r="B83" t="str">
            <v>PVC SHEETING FILM</v>
          </cell>
          <cell r="C83">
            <v>2300</v>
          </cell>
        </row>
        <row r="84">
          <cell r="A84" t="str">
            <v xml:space="preserve">Hard Sheets </v>
          </cell>
          <cell r="B84" t="str">
            <v>Pvc_1.25"x10"_1010GSM_Black</v>
          </cell>
        </row>
        <row r="85">
          <cell r="A85" t="str">
            <v xml:space="preserve">Hard Sheets </v>
          </cell>
          <cell r="B85" t="str">
            <v>Pvc_1.25"x12.5"_1010GSM_Black</v>
          </cell>
        </row>
        <row r="86">
          <cell r="A86" t="str">
            <v xml:space="preserve">Hard Sheets </v>
          </cell>
          <cell r="B86" t="str">
            <v>Pvc_1.25"x13.5"_1010GSM_Black</v>
          </cell>
          <cell r="C86">
            <v>344</v>
          </cell>
        </row>
        <row r="87">
          <cell r="A87" t="str">
            <v xml:space="preserve">Plastic Accessory </v>
          </cell>
          <cell r="B87" t="str">
            <v>Rectangle Buckle - Black - 38mm - Classic</v>
          </cell>
          <cell r="C87">
            <v>550</v>
          </cell>
        </row>
        <row r="88">
          <cell r="A88" t="str">
            <v xml:space="preserve">Plastic Accessory </v>
          </cell>
          <cell r="B88" t="str">
            <v>Rectangle Buckle - Black _25mm</v>
          </cell>
        </row>
        <row r="89">
          <cell r="A89" t="str">
            <v xml:space="preserve">Plastic Accessory </v>
          </cell>
          <cell r="B89" t="str">
            <v>Rectangle Buckle - Black _50mm</v>
          </cell>
        </row>
        <row r="90">
          <cell r="A90" t="str">
            <v xml:space="preserve">Plastic Accessory </v>
          </cell>
          <cell r="B90" t="str">
            <v>Rectangle Buckle - FF_30mm</v>
          </cell>
        </row>
        <row r="91">
          <cell r="A91" t="str">
            <v>Fabric</v>
          </cell>
          <cell r="B91" t="str">
            <v>Red Coated Fabrics With Uly_58" Inch coating WR -5%</v>
          </cell>
          <cell r="C91">
            <v>354</v>
          </cell>
        </row>
        <row r="92">
          <cell r="A92" t="str">
            <v xml:space="preserve">Reflective Tape </v>
          </cell>
          <cell r="B92" t="str">
            <v xml:space="preserve">Reflective Tape-200 mtr </v>
          </cell>
          <cell r="C92">
            <v>152</v>
          </cell>
        </row>
        <row r="93">
          <cell r="A93" t="str">
            <v xml:space="preserve">Reflective Tape </v>
          </cell>
          <cell r="B93" t="str">
            <v>Reflective Tape_25mm x 90mtr_Grey-5%</v>
          </cell>
          <cell r="C93">
            <v>60</v>
          </cell>
        </row>
        <row r="94">
          <cell r="A94" t="str">
            <v>Metal Accessory</v>
          </cell>
          <cell r="B94" t="str">
            <v>RIVET</v>
          </cell>
          <cell r="C94">
            <v>4801</v>
          </cell>
        </row>
        <row r="95">
          <cell r="A95" t="str">
            <v xml:space="preserve">Plastic Accessory </v>
          </cell>
          <cell r="B95" t="str">
            <v>Round Bottom Stud Lug Soft-STD-Black</v>
          </cell>
          <cell r="C95">
            <v>10000</v>
          </cell>
        </row>
        <row r="96">
          <cell r="A96" t="str">
            <v xml:space="preserve">Plastic Accessory </v>
          </cell>
          <cell r="B96" t="str">
            <v>RUBBER GROMMET PANEL</v>
          </cell>
        </row>
        <row r="97">
          <cell r="A97" t="str">
            <v>Metal Accessory</v>
          </cell>
          <cell r="B97" t="str">
            <v>SCREW-19MM</v>
          </cell>
        </row>
        <row r="98">
          <cell r="A98" t="str">
            <v xml:space="preserve">Plastic Accessory </v>
          </cell>
          <cell r="B98" t="str">
            <v>SHOLDAR PAD FF-032_38mm</v>
          </cell>
        </row>
        <row r="99">
          <cell r="A99" t="str">
            <v xml:space="preserve">Plastic Accessory </v>
          </cell>
          <cell r="B99" t="str">
            <v>SHOLDAR PAD_2inch</v>
          </cell>
        </row>
        <row r="100">
          <cell r="A100" t="str">
            <v>Poly</v>
          </cell>
          <cell r="B100" t="str">
            <v>SHRINK WRAP ROLL</v>
          </cell>
        </row>
        <row r="101">
          <cell r="A101" t="str">
            <v>Metal Accessory</v>
          </cell>
          <cell r="B101" t="str">
            <v>Side Button Trolley</v>
          </cell>
        </row>
        <row r="102">
          <cell r="A102" t="str">
            <v>Metal Accessory</v>
          </cell>
          <cell r="B102" t="str">
            <v>Slider#08_F87988SUN 580</v>
          </cell>
          <cell r="C102">
            <v>6653</v>
          </cell>
        </row>
        <row r="103">
          <cell r="A103" t="str">
            <v>Metal Accessory</v>
          </cell>
          <cell r="B103" t="str">
            <v>Slider #10 No._CX7989SUN_580_Black-5%</v>
          </cell>
        </row>
        <row r="104">
          <cell r="A104" t="str">
            <v>Metal Accessory</v>
          </cell>
          <cell r="B104" t="str">
            <v>Slider #8 No._C87988SUN_580_Black- 5%</v>
          </cell>
          <cell r="C104">
            <v>960</v>
          </cell>
        </row>
        <row r="105">
          <cell r="A105" t="str">
            <v>Metal Accessory</v>
          </cell>
          <cell r="B105" t="str">
            <v>Slider_#8 No.C819RCECOLONG-60GM-PCT-01-5%</v>
          </cell>
          <cell r="C105">
            <v>79100</v>
          </cell>
        </row>
        <row r="106">
          <cell r="A106" t="str">
            <v xml:space="preserve">Plastic Accessory </v>
          </cell>
          <cell r="B106" t="str">
            <v>Square Buckle - Black - 20mm</v>
          </cell>
        </row>
        <row r="107">
          <cell r="A107" t="str">
            <v xml:space="preserve">Plastic Accessory </v>
          </cell>
          <cell r="B107" t="str">
            <v>Square Buckle - Black - 25mm</v>
          </cell>
          <cell r="C107">
            <v>2500</v>
          </cell>
        </row>
        <row r="108">
          <cell r="A108" t="str">
            <v xml:space="preserve">Plastic Accessory </v>
          </cell>
          <cell r="B108" t="str">
            <v>Square Buckle - Black - 32mm</v>
          </cell>
        </row>
        <row r="109">
          <cell r="A109" t="str">
            <v xml:space="preserve">Plastic Accessory </v>
          </cell>
          <cell r="B109" t="str">
            <v>Square Buckle - Black - 38mm - Classic</v>
          </cell>
        </row>
        <row r="110">
          <cell r="A110" t="str">
            <v xml:space="preserve">Plastic Accessory </v>
          </cell>
          <cell r="B110" t="str">
            <v>Square Buckle - FF_Black- 20mm</v>
          </cell>
        </row>
        <row r="111">
          <cell r="A111" t="str">
            <v xml:space="preserve">Plastic Accessory </v>
          </cell>
          <cell r="B111" t="str">
            <v>SQUARE BUCKLE IFC_25mm</v>
          </cell>
        </row>
        <row r="112">
          <cell r="A112" t="str">
            <v xml:space="preserve">Plastic Accessory </v>
          </cell>
          <cell r="B112" t="str">
            <v>SR Clamp-Black -20mm - Draco</v>
          </cell>
        </row>
        <row r="113">
          <cell r="A113" t="str">
            <v xml:space="preserve">Plastic Accessory </v>
          </cell>
          <cell r="B113" t="str">
            <v>SR Clamp-Black -25mm - Draco</v>
          </cell>
          <cell r="C113">
            <v>7022</v>
          </cell>
        </row>
        <row r="114">
          <cell r="A114" t="str">
            <v xml:space="preserve">Plastic Accessory </v>
          </cell>
          <cell r="B114" t="str">
            <v>SR Clamp-Black -25mm - Indus</v>
          </cell>
          <cell r="C114">
            <v>18000</v>
          </cell>
        </row>
        <row r="115">
          <cell r="A115" t="str">
            <v xml:space="preserve">Plastic Accessory </v>
          </cell>
          <cell r="B115" t="str">
            <v>SR Clamp-Black - 38mm - Draco</v>
          </cell>
        </row>
        <row r="116">
          <cell r="A116" t="str">
            <v xml:space="preserve">Plastic Accessory </v>
          </cell>
          <cell r="B116" t="str">
            <v>SR Clamp-Black -38mm - Indus</v>
          </cell>
        </row>
        <row r="117">
          <cell r="A117" t="str">
            <v xml:space="preserve">Plastic Accessory </v>
          </cell>
          <cell r="B117" t="str">
            <v>SR Clamp-Ultra  FF_25mm</v>
          </cell>
        </row>
        <row r="118">
          <cell r="A118" t="str">
            <v xml:space="preserve">Plastic Accessory </v>
          </cell>
          <cell r="B118" t="str">
            <v>SR Clamp_20mm</v>
          </cell>
        </row>
        <row r="119">
          <cell r="A119" t="str">
            <v xml:space="preserve">Plastic Accessory </v>
          </cell>
          <cell r="B119" t="str">
            <v>SR Clamp_25mm</v>
          </cell>
        </row>
        <row r="120">
          <cell r="A120" t="str">
            <v xml:space="preserve">Stationary </v>
          </cell>
          <cell r="B120" t="str">
            <v>Sticker Print-18%</v>
          </cell>
        </row>
        <row r="121">
          <cell r="A121" t="str">
            <v xml:space="preserve">Stationary </v>
          </cell>
          <cell r="B121" t="str">
            <v>Tefta Label with QR Code_40mm x 50 mm- 5%</v>
          </cell>
        </row>
        <row r="122">
          <cell r="A122" t="str">
            <v>Thread</v>
          </cell>
          <cell r="B122" t="str">
            <v>THREAD FOR SACK SEWING</v>
          </cell>
          <cell r="C122">
            <v>40</v>
          </cell>
        </row>
        <row r="123">
          <cell r="A123" t="str">
            <v>Thread</v>
          </cell>
          <cell r="B123" t="str">
            <v>Thread_2Ply*100000mtr_Red/Z/TKT60</v>
          </cell>
        </row>
        <row r="124">
          <cell r="A124" t="str">
            <v>Thread</v>
          </cell>
          <cell r="B124" t="str">
            <v>Thread_2Ply*10000mtr_White/Z/TKT60</v>
          </cell>
        </row>
        <row r="125">
          <cell r="A125" t="str">
            <v>Thread</v>
          </cell>
          <cell r="B125" t="str">
            <v>Thread_2Ply*10000mtr_Yellow/Z/TKT60</v>
          </cell>
          <cell r="C125">
            <v>2</v>
          </cell>
        </row>
        <row r="126">
          <cell r="A126" t="str">
            <v>Thread</v>
          </cell>
          <cell r="B126" t="str">
            <v>Thread_2Ply*2000mtr_Black/Z/J150- 5%</v>
          </cell>
          <cell r="C126">
            <v>1484</v>
          </cell>
        </row>
        <row r="127">
          <cell r="A127" t="str">
            <v>Thread</v>
          </cell>
          <cell r="B127" t="str">
            <v>Thread_2Ply*2000mtr_Golden yellow/Z/J150</v>
          </cell>
          <cell r="C127">
            <v>93</v>
          </cell>
        </row>
        <row r="128">
          <cell r="A128" t="str">
            <v>Thread</v>
          </cell>
          <cell r="B128" t="str">
            <v>Thread_2Ply*2000mtr_Golden Yellow_N166/J150-5%</v>
          </cell>
          <cell r="C128">
            <v>116</v>
          </cell>
        </row>
        <row r="129">
          <cell r="A129" t="str">
            <v>Thread</v>
          </cell>
          <cell r="B129" t="str">
            <v>Thread_2Ply*2000mtr_Grey/N141/J150-5%</v>
          </cell>
          <cell r="C129">
            <v>3</v>
          </cell>
        </row>
        <row r="130">
          <cell r="A130" t="str">
            <v>Thread</v>
          </cell>
          <cell r="B130" t="str">
            <v>Thread_2Ply*2000mtr_Grey/Z/J150</v>
          </cell>
          <cell r="C130">
            <v>108</v>
          </cell>
        </row>
        <row r="131">
          <cell r="A131" t="str">
            <v>Thread</v>
          </cell>
          <cell r="B131" t="str">
            <v>Thread_2Ply*2000mtr_Navyblue/N920/J150_5%</v>
          </cell>
          <cell r="C131">
            <v>67</v>
          </cell>
        </row>
        <row r="132">
          <cell r="A132" t="str">
            <v>Thread</v>
          </cell>
          <cell r="B132" t="str">
            <v>Thread_2Ply*2000mtr_Red/Z/J150</v>
          </cell>
          <cell r="C132">
            <v>7</v>
          </cell>
        </row>
        <row r="133">
          <cell r="A133" t="str">
            <v>Thread</v>
          </cell>
          <cell r="B133" t="str">
            <v>Thread_3Ply*1000mtr_Blue/Z/ULTRA DEE/TKT30</v>
          </cell>
        </row>
        <row r="134">
          <cell r="A134" t="str">
            <v>Thread</v>
          </cell>
          <cell r="B134" t="str">
            <v>Thread_3Ply*1000mtr_M Green/Z/ULTRA DEE/TKT30</v>
          </cell>
        </row>
        <row r="135">
          <cell r="A135" t="str">
            <v>Thread</v>
          </cell>
          <cell r="B135" t="str">
            <v>Thread_3Ply*1000mtr_Red/Z/ULTRA DEE/TKT30</v>
          </cell>
        </row>
        <row r="136">
          <cell r="A136" t="str">
            <v>Thread</v>
          </cell>
          <cell r="B136" t="str">
            <v>Thread_3Ply*1500mtr_Black/Z/J125- 5%</v>
          </cell>
          <cell r="C136">
            <v>368</v>
          </cell>
        </row>
        <row r="137">
          <cell r="A137" t="str">
            <v>Thread</v>
          </cell>
          <cell r="B137" t="str">
            <v>Thread_3Ply*1500mtr_Golden yellow/Z/J125</v>
          </cell>
          <cell r="C137">
            <v>46</v>
          </cell>
        </row>
        <row r="138">
          <cell r="A138" t="str">
            <v>Thread</v>
          </cell>
          <cell r="B138" t="str">
            <v>Thread_3Ply*1500mtr_Golden Yellow_N166/J125-5%</v>
          </cell>
          <cell r="C138">
            <v>50</v>
          </cell>
        </row>
        <row r="139">
          <cell r="A139" t="str">
            <v>Thread</v>
          </cell>
          <cell r="B139" t="str">
            <v>Thread_3Ply*1500mtr_Red/N5710/J125-5%</v>
          </cell>
          <cell r="C139">
            <v>6</v>
          </cell>
        </row>
        <row r="140">
          <cell r="A140" t="str">
            <v>Thread</v>
          </cell>
          <cell r="B140" t="str">
            <v>Thread_3Ply*1500mtr_Red/Z/J125</v>
          </cell>
          <cell r="C140">
            <v>25</v>
          </cell>
        </row>
        <row r="141">
          <cell r="A141" t="str">
            <v>Thread</v>
          </cell>
          <cell r="B141" t="str">
            <v>Thread_3Ply*400mtr_Blue/Z/TKT120</v>
          </cell>
          <cell r="C141">
            <v>8</v>
          </cell>
        </row>
        <row r="142">
          <cell r="A142" t="str">
            <v>Thread</v>
          </cell>
          <cell r="B142" t="str">
            <v>Thread_3Ply*400mtr_Brown/Z/TKT120</v>
          </cell>
          <cell r="C142">
            <v>45</v>
          </cell>
        </row>
        <row r="143">
          <cell r="A143" t="str">
            <v>Thread</v>
          </cell>
          <cell r="B143" t="str">
            <v>Thread_3Ply*400mtr_C Green/Z/TKT120</v>
          </cell>
          <cell r="C143">
            <v>15</v>
          </cell>
        </row>
        <row r="144">
          <cell r="A144" t="str">
            <v>Thread</v>
          </cell>
          <cell r="B144" t="str">
            <v>Thread_3Ply*400mtr_Dark Green/Z/TKT120</v>
          </cell>
          <cell r="C144">
            <v>12</v>
          </cell>
        </row>
        <row r="145">
          <cell r="A145" t="str">
            <v>Thread</v>
          </cell>
          <cell r="B145" t="str">
            <v>Thread_3Ply*400mtr_Dark grey/Z/TKT120</v>
          </cell>
          <cell r="C145">
            <v>30</v>
          </cell>
        </row>
        <row r="146">
          <cell r="A146" t="str">
            <v>Thread</v>
          </cell>
          <cell r="B146" t="str">
            <v>Thread_3Ply*400mtr_Fluorescent yellow/Z/TKT120</v>
          </cell>
          <cell r="C146">
            <v>60</v>
          </cell>
        </row>
        <row r="147">
          <cell r="A147" t="str">
            <v>Thread</v>
          </cell>
          <cell r="B147" t="str">
            <v>Thread_3Ply*400mtr_Golden yellow/Z/TKT120</v>
          </cell>
          <cell r="C147">
            <v>10</v>
          </cell>
        </row>
        <row r="148">
          <cell r="A148" t="str">
            <v>Thread</v>
          </cell>
          <cell r="B148" t="str">
            <v>Thread_3Ply*400mtr_Golden/Z/TKT120</v>
          </cell>
          <cell r="C148">
            <v>10</v>
          </cell>
        </row>
        <row r="149">
          <cell r="A149" t="str">
            <v>Thread</v>
          </cell>
          <cell r="B149" t="str">
            <v>Thread_3Ply*400mtr_Light Brown/Z/TKT120</v>
          </cell>
          <cell r="C149">
            <v>60</v>
          </cell>
        </row>
        <row r="150">
          <cell r="A150" t="str">
            <v>Thread</v>
          </cell>
          <cell r="B150" t="str">
            <v>Thread_3Ply*400mtr_Maroon/Z/TKT120</v>
          </cell>
          <cell r="C150">
            <v>30</v>
          </cell>
        </row>
        <row r="151">
          <cell r="A151" t="str">
            <v>Thread</v>
          </cell>
          <cell r="B151" t="str">
            <v>Thread_3Ply*400mtr_Orange/Z/TKT120</v>
          </cell>
          <cell r="C151">
            <v>12</v>
          </cell>
        </row>
        <row r="152">
          <cell r="A152" t="str">
            <v>Thread</v>
          </cell>
          <cell r="B152" t="str">
            <v>Thread_3Ply*400mtr_Red/Z/TKT120</v>
          </cell>
          <cell r="C152">
            <v>30</v>
          </cell>
        </row>
        <row r="153">
          <cell r="A153" t="str">
            <v>Thread</v>
          </cell>
          <cell r="B153" t="str">
            <v>Thread_3Ply*5000mtr_Black_Y260</v>
          </cell>
          <cell r="C153">
            <v>10</v>
          </cell>
        </row>
        <row r="154">
          <cell r="A154" t="str">
            <v xml:space="preserve">Plastic Accessory </v>
          </cell>
          <cell r="B154" t="str">
            <v>Triangle Buckle-N</v>
          </cell>
        </row>
        <row r="155">
          <cell r="A155" t="str">
            <v xml:space="preserve">Plastic Accessory </v>
          </cell>
          <cell r="B155" t="str">
            <v>USB CHARGING  IFC</v>
          </cell>
        </row>
        <row r="156">
          <cell r="A156" t="str">
            <v xml:space="preserve">Plastic Accessory </v>
          </cell>
          <cell r="B156" t="str">
            <v>USB Cord with Cover</v>
          </cell>
        </row>
        <row r="157">
          <cell r="A157" t="str">
            <v xml:space="preserve">Velcro Tape </v>
          </cell>
          <cell r="B157" t="str">
            <v>Velcro -Micro Hook-10mm-1000 Mtr White-GBS</v>
          </cell>
          <cell r="C157">
            <v>2500</v>
          </cell>
        </row>
        <row r="158">
          <cell r="A158" t="str">
            <v xml:space="preserve">Velcro Tape </v>
          </cell>
          <cell r="B158" t="str">
            <v>Velcro _2 Side-50mm-Black</v>
          </cell>
        </row>
        <row r="159">
          <cell r="A159" t="str">
            <v xml:space="preserve">Velcro Tape </v>
          </cell>
          <cell r="B159" t="str">
            <v>Velcro _Hook-10mm-White_Max</v>
          </cell>
        </row>
        <row r="160">
          <cell r="A160" t="str">
            <v xml:space="preserve">Velcro Tape </v>
          </cell>
          <cell r="B160" t="str">
            <v>Velcro _hook-110mm-Black</v>
          </cell>
        </row>
        <row r="161">
          <cell r="A161" t="str">
            <v xml:space="preserve">Velcro Tape </v>
          </cell>
          <cell r="B161" t="str">
            <v>Velcro _Hook-15mm-White_With adhesive</v>
          </cell>
        </row>
        <row r="162">
          <cell r="A162" t="str">
            <v xml:space="preserve">Velcro Tape </v>
          </cell>
          <cell r="B162" t="str">
            <v>Velcro _Hook-20mm-White_Classic</v>
          </cell>
        </row>
        <row r="163">
          <cell r="A163" t="str">
            <v xml:space="preserve">Velcro Tape </v>
          </cell>
          <cell r="B163" t="str">
            <v>Velcro _hook-20mm-White_Maestro</v>
          </cell>
        </row>
        <row r="164">
          <cell r="A164" t="str">
            <v xml:space="preserve">Velcro Tape </v>
          </cell>
          <cell r="B164" t="str">
            <v>Velcro _Hook-25mm-Black_Diamond</v>
          </cell>
          <cell r="C164">
            <v>46100</v>
          </cell>
        </row>
        <row r="165">
          <cell r="A165" t="str">
            <v xml:space="preserve">Velcro Tape </v>
          </cell>
          <cell r="B165" t="str">
            <v>Velcro _Hook-25mm-Red_Welar</v>
          </cell>
        </row>
        <row r="166">
          <cell r="A166" t="str">
            <v xml:space="preserve">Velcro Tape </v>
          </cell>
          <cell r="B166" t="str">
            <v>Velcro _Hook-25mm-White_Max</v>
          </cell>
        </row>
        <row r="167">
          <cell r="A167" t="str">
            <v xml:space="preserve">Velcro Tape </v>
          </cell>
          <cell r="B167" t="str">
            <v>Velcro _Hook-38mm-Black_Diamond</v>
          </cell>
          <cell r="C167">
            <v>18200</v>
          </cell>
        </row>
        <row r="168">
          <cell r="A168" t="str">
            <v xml:space="preserve">Velcro Tape </v>
          </cell>
          <cell r="B168" t="str">
            <v>Velcro _Hook-38mm-Black_K fast</v>
          </cell>
        </row>
        <row r="169">
          <cell r="A169" t="str">
            <v xml:space="preserve">Velcro Tape </v>
          </cell>
          <cell r="B169" t="str">
            <v>Velcro _Hook-50mm-Black_Max</v>
          </cell>
        </row>
        <row r="170">
          <cell r="A170" t="str">
            <v xml:space="preserve">Velcro Tape </v>
          </cell>
          <cell r="B170" t="str">
            <v>Velcro _Loop-10mm-White_Max</v>
          </cell>
        </row>
        <row r="171">
          <cell r="A171" t="str">
            <v xml:space="preserve">Velcro Tape </v>
          </cell>
          <cell r="B171" t="str">
            <v>Velcro _Loop-20mm-White_Classic</v>
          </cell>
        </row>
        <row r="172">
          <cell r="A172" t="str">
            <v xml:space="preserve">Velcro Tape </v>
          </cell>
          <cell r="B172" t="str">
            <v>Velcro _Loop-20mm-White_Maestro</v>
          </cell>
        </row>
        <row r="173">
          <cell r="A173" t="str">
            <v xml:space="preserve">Velcro Tape </v>
          </cell>
          <cell r="B173" t="str">
            <v>Velcro _Loop-20mm-White_Ultra</v>
          </cell>
        </row>
        <row r="174">
          <cell r="A174" t="str">
            <v xml:space="preserve">Velcro Tape </v>
          </cell>
          <cell r="B174" t="str">
            <v>Velcro _Loop-25mm-Black_Diamond</v>
          </cell>
          <cell r="C174">
            <v>87725</v>
          </cell>
        </row>
        <row r="175">
          <cell r="A175" t="str">
            <v xml:space="preserve">Velcro Tape </v>
          </cell>
          <cell r="B175" t="str">
            <v>Velcro _Loop-25mm-Red_Welar</v>
          </cell>
        </row>
        <row r="176">
          <cell r="A176" t="str">
            <v xml:space="preserve">Velcro Tape </v>
          </cell>
          <cell r="B176" t="str">
            <v>Velcro _Loop-25mm-White_Max</v>
          </cell>
        </row>
        <row r="177">
          <cell r="A177" t="str">
            <v xml:space="preserve">Velcro Tape </v>
          </cell>
          <cell r="B177" t="str">
            <v>Velcro _Loop-38mm-Black_Diamond</v>
          </cell>
          <cell r="C177">
            <v>21050</v>
          </cell>
        </row>
        <row r="178">
          <cell r="A178" t="str">
            <v xml:space="preserve">Velcro Tape </v>
          </cell>
          <cell r="B178" t="str">
            <v>Velcro _Loop-50mm-Black_Max</v>
          </cell>
        </row>
        <row r="179">
          <cell r="A179" t="str">
            <v>Plastic Accessory</v>
          </cell>
          <cell r="B179" t="str">
            <v>Washer</v>
          </cell>
        </row>
        <row r="180">
          <cell r="A180" t="str">
            <v>Zip</v>
          </cell>
          <cell r="B180" t="str">
            <v>Water Proof Zipper_7No.</v>
          </cell>
        </row>
        <row r="181">
          <cell r="A181" t="str">
            <v>Zip</v>
          </cell>
          <cell r="B181" t="str">
            <v>WFSF_60"_24No_Black</v>
          </cell>
        </row>
        <row r="182">
          <cell r="A182" t="str">
            <v>Zip</v>
          </cell>
          <cell r="B182" t="str">
            <v>Zip_#10No.Black/10CZR30K100YRB-5%</v>
          </cell>
        </row>
        <row r="183">
          <cell r="A183" t="str">
            <v>Zip</v>
          </cell>
          <cell r="B183" t="str">
            <v>Zip_#8 No.Black/8 CFC 1.8K100YRB</v>
          </cell>
          <cell r="C183">
            <v>234</v>
          </cell>
        </row>
        <row r="184">
          <cell r="A184" t="str">
            <v>Zip</v>
          </cell>
          <cell r="B184" t="str">
            <v>Zip_39mm Width_#8 No.Black/8 CFC 2.2K100YRB-5%</v>
          </cell>
          <cell r="C184">
            <v>185</v>
          </cell>
        </row>
        <row r="185">
          <cell r="A185" t="str">
            <v>Plastic Accessory</v>
          </cell>
          <cell r="B185" t="str">
            <v>Bottom Stud Round Stand Black-Ff114</v>
          </cell>
          <cell r="C185">
            <v>21</v>
          </cell>
        </row>
        <row r="186">
          <cell r="A186" t="str">
            <v>Plastic Accessory</v>
          </cell>
          <cell r="B186" t="str">
            <v>Hook-Black - 38mm-Alpha</v>
          </cell>
        </row>
        <row r="187">
          <cell r="A187" t="str">
            <v xml:space="preserve">Furniture </v>
          </cell>
          <cell r="B187" t="str">
            <v>KITCHEN BASKET BIG</v>
          </cell>
        </row>
        <row r="188">
          <cell r="A188" t="str">
            <v>Poly</v>
          </cell>
          <cell r="B188" t="str">
            <v>PP WOVEN BAG_38"*34"_Printed</v>
          </cell>
          <cell r="C188">
            <v>543</v>
          </cell>
        </row>
        <row r="189">
          <cell r="A189" t="str">
            <v>Fabric</v>
          </cell>
          <cell r="B189" t="str">
            <v>PP Woven Silver Metpat Laminated 115 GSM</v>
          </cell>
          <cell r="C189">
            <v>27579</v>
          </cell>
        </row>
        <row r="190">
          <cell r="A190" t="str">
            <v>Tool</v>
          </cell>
          <cell r="B190" t="str">
            <v>SAMPLE FOLDER</v>
          </cell>
        </row>
        <row r="191">
          <cell r="A191" t="str">
            <v>Metal Accessory</v>
          </cell>
          <cell r="B191" t="str">
            <v>S.S WIRE 3mm</v>
          </cell>
        </row>
        <row r="192">
          <cell r="A192" t="str">
            <v>Metal Accessory</v>
          </cell>
          <cell r="B192" t="str">
            <v>STEEL RING</v>
          </cell>
        </row>
        <row r="193">
          <cell r="A193" t="str">
            <v>Machine</v>
          </cell>
          <cell r="B193" t="str">
            <v>WEB CONTROL MACHINE</v>
          </cell>
        </row>
        <row r="194">
          <cell r="A194" t="str">
            <v xml:space="preserve">Furniture </v>
          </cell>
          <cell r="B194" t="str">
            <v>WOODEN PALLET</v>
          </cell>
        </row>
        <row r="195">
          <cell r="A195" t="str">
            <v>ZIP</v>
          </cell>
          <cell r="B195" t="str">
            <v xml:space="preserve">5 NO. CFC GREEN 2.400 KG - 180 MTR </v>
          </cell>
        </row>
        <row r="196">
          <cell r="A196" t="str">
            <v>ZIP</v>
          </cell>
          <cell r="B196" t="str">
            <v xml:space="preserve">5 NO. CFC YELLOW 2.400 KG - 180 MTR </v>
          </cell>
        </row>
        <row r="197">
          <cell r="A197" t="str">
            <v>ZIP</v>
          </cell>
          <cell r="B197" t="str">
            <v xml:space="preserve">5 NO. CFC ORANGE 2.400 KG - 180 MTR </v>
          </cell>
        </row>
        <row r="198">
          <cell r="A198" t="str">
            <v>ZIP</v>
          </cell>
          <cell r="B198" t="str">
            <v xml:space="preserve">5 NO. CFC WHITE 2.400 KG - 180 MTR </v>
          </cell>
        </row>
        <row r="199">
          <cell r="A199" t="str">
            <v>ZIP</v>
          </cell>
          <cell r="B199" t="str">
            <v xml:space="preserve">5 NO. CFC RED 2.400 KG - 180 MTR </v>
          </cell>
        </row>
        <row r="200">
          <cell r="A200" t="str">
            <v>ZIP</v>
          </cell>
          <cell r="B200" t="str">
            <v xml:space="preserve">5 NO. CFC BLACK 2.400 KG - 180 MTR </v>
          </cell>
        </row>
        <row r="201">
          <cell r="A201" t="str">
            <v>ZIP</v>
          </cell>
          <cell r="B201" t="str">
            <v xml:space="preserve">5 NO. CFC BLUE 2.400 KG - 180 MTR </v>
          </cell>
        </row>
        <row r="202">
          <cell r="A202" t="str">
            <v>NIWAR</v>
          </cell>
          <cell r="B202" t="str">
            <v xml:space="preserve">DORI 5 PLY </v>
          </cell>
        </row>
        <row r="203">
          <cell r="A203" t="str">
            <v xml:space="preserve">Elastic </v>
          </cell>
          <cell r="C203">
            <v>16440</v>
          </cell>
        </row>
        <row r="204">
          <cell r="A204" t="str">
            <v xml:space="preserve">Hard Sheets </v>
          </cell>
          <cell r="C204"/>
        </row>
        <row r="205">
          <cell r="A205" t="str">
            <v xml:space="preserve">Hard Sheets </v>
          </cell>
          <cell r="C205"/>
        </row>
        <row r="206">
          <cell r="A206" t="str">
            <v>Fabric</v>
          </cell>
          <cell r="B206" t="str">
            <v xml:space="preserve">2X2 MATTY PVC LAMINATED BLACK </v>
          </cell>
          <cell r="C206">
            <v>10150</v>
          </cell>
        </row>
        <row r="207">
          <cell r="A207" t="str">
            <v xml:space="preserve">HARD SHEETS </v>
          </cell>
          <cell r="B207" t="str">
            <v xml:space="preserve">FLUTE 336 X 280 - 4.8 MM - 700 GSM </v>
          </cell>
          <cell r="C207"/>
        </row>
        <row r="208">
          <cell r="A208" t="str">
            <v xml:space="preserve">HARD SHEETS </v>
          </cell>
          <cell r="B208" t="str">
            <v xml:space="preserve">FLUTE 159 X 280 - 4.8 MM - 700 GSM </v>
          </cell>
          <cell r="C208"/>
        </row>
        <row r="209">
          <cell r="A209" t="str">
            <v xml:space="preserve">Plastic Accesory </v>
          </cell>
          <cell r="B209" t="str">
            <v xml:space="preserve">D ring Flat - 25 mm Plastic </v>
          </cell>
          <cell r="C209">
            <v>80000</v>
          </cell>
        </row>
        <row r="210">
          <cell r="A210" t="str">
            <v>Thread</v>
          </cell>
          <cell r="B210" t="str">
            <v xml:space="preserve">BAG CLOSURE THREAD 3 PLY </v>
          </cell>
          <cell r="C210">
            <v>0</v>
          </cell>
        </row>
        <row r="211">
          <cell r="A211" t="str">
            <v>NIWAR</v>
          </cell>
          <cell r="B211" t="str">
            <v xml:space="preserve">25 MM PREMIUM SOFT 270 PER KG / 60 MTR </v>
          </cell>
          <cell r="C211">
            <v>0</v>
          </cell>
        </row>
        <row r="212">
          <cell r="A212" t="str">
            <v xml:space="preserve">Hard Sheets </v>
          </cell>
          <cell r="B212" t="str">
            <v xml:space="preserve">1.PP CORRUGATED SHEET-356*292- 700 GSM- BLACK- . (BLK) </v>
          </cell>
          <cell r="C212">
            <v>0</v>
          </cell>
        </row>
        <row r="213">
          <cell r="A213" t="str">
            <v xml:space="preserve">Hard Sheets </v>
          </cell>
          <cell r="B213" t="str">
            <v>2. PP CORRUGATED SHEET-464*368- 700 GSM- BLACK- . (BLK)</v>
          </cell>
          <cell r="C213">
            <v>0</v>
          </cell>
        </row>
        <row r="214">
          <cell r="A214" t="str">
            <v xml:space="preserve">Hard Sheets </v>
          </cell>
          <cell r="B214" t="str">
            <v>3. PP CORRUGATED SHEET-465*140- 700 GSM- BLACK-  Pcs. (BLK)</v>
          </cell>
          <cell r="C214">
            <v>0</v>
          </cell>
        </row>
        <row r="215">
          <cell r="A215" t="str">
            <v>Fabric</v>
          </cell>
          <cell r="B215" t="str">
            <v xml:space="preserve">LINER 14 KG QUALITY BLACK </v>
          </cell>
          <cell r="C215">
            <v>0</v>
          </cell>
        </row>
        <row r="216">
          <cell r="A216" t="str">
            <v xml:space="preserve">Hard Sheets </v>
          </cell>
          <cell r="B216" t="str">
            <v xml:space="preserve">PP CORRUGATED SHEET-305*305- 900 GSM- Virgin - Black </v>
          </cell>
          <cell r="C216">
            <v>0</v>
          </cell>
        </row>
        <row r="217">
          <cell r="A217" t="str">
            <v>NIWAR</v>
          </cell>
          <cell r="B217" t="str">
            <v xml:space="preserve">PP NIWAR 25 MM 4.67 GRAM / 200 MTR PER KG BLACK </v>
          </cell>
          <cell r="C217">
            <v>747.6400000000001</v>
          </cell>
        </row>
        <row r="218">
          <cell r="A218" t="str">
            <v>ZIP</v>
          </cell>
          <cell r="B218" t="str">
            <v xml:space="preserve">YKK BLACK - 5 NO. - RC CFC- 200 MTR PER BUNDLE </v>
          </cell>
          <cell r="C218">
            <v>0</v>
          </cell>
        </row>
        <row r="219">
          <cell r="A219" t="str">
            <v>Metal Accessory</v>
          </cell>
          <cell r="B219" t="str">
            <v>YKK SLIDER RC 5 NO. CFC REVERSE BODY DFB2WEJ</v>
          </cell>
          <cell r="C219">
            <v>0</v>
          </cell>
        </row>
        <row r="220">
          <cell r="A220" t="str">
            <v>Metal Accessory</v>
          </cell>
          <cell r="B220" t="str">
            <v xml:space="preserve">YKK SLIDER RC 5 NO. CFC REVERSE BODY DFB2WEJ- SHORT PULLER </v>
          </cell>
          <cell r="C220">
            <v>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9"/>
  <sheetViews>
    <sheetView tabSelected="1" workbookViewId="0">
      <selection activeCell="D5" sqref="D5"/>
    </sheetView>
  </sheetViews>
  <sheetFormatPr defaultColWidth="12.06640625" defaultRowHeight="14.25" x14ac:dyDescent="0.45"/>
  <cols>
    <col min="1" max="1" width="2.19921875" bestFit="1" customWidth="1"/>
    <col min="2" max="2" width="15.19921875" customWidth="1"/>
    <col min="3" max="3" width="15.19921875" bestFit="1" customWidth="1"/>
    <col min="4" max="4" width="67.33203125" bestFit="1" customWidth="1"/>
    <col min="5" max="5" width="20.19921875" customWidth="1"/>
    <col min="6" max="6" width="17.265625" customWidth="1"/>
    <col min="7" max="7" width="8.796875" bestFit="1" customWidth="1"/>
    <col min="8" max="8" width="8.9296875" customWidth="1"/>
    <col min="9" max="9" width="13.33203125" bestFit="1" customWidth="1"/>
    <col min="10" max="10" width="4.73046875" bestFit="1" customWidth="1"/>
  </cols>
  <sheetData>
    <row r="1" spans="1:10" x14ac:dyDescent="0.45">
      <c r="A1" s="2" t="s">
        <v>0</v>
      </c>
      <c r="B1" s="2" t="s">
        <v>197</v>
      </c>
      <c r="C1" s="2" t="s">
        <v>1</v>
      </c>
      <c r="D1" s="2" t="s">
        <v>2</v>
      </c>
      <c r="E1" s="2" t="s">
        <v>6</v>
      </c>
      <c r="F1" s="2" t="s">
        <v>3</v>
      </c>
      <c r="G1" s="2" t="s">
        <v>4</v>
      </c>
      <c r="H1" s="2" t="s">
        <v>5</v>
      </c>
      <c r="I1" s="2" t="s">
        <v>182</v>
      </c>
      <c r="J1" s="2" t="s">
        <v>183</v>
      </c>
    </row>
    <row r="2" spans="1:10" x14ac:dyDescent="0.45">
      <c r="A2" s="2"/>
      <c r="B2" s="2" t="s">
        <v>195</v>
      </c>
      <c r="C2" s="8" t="s">
        <v>189</v>
      </c>
      <c r="D2" s="2" t="s">
        <v>59</v>
      </c>
      <c r="E2" s="2" t="s">
        <v>98</v>
      </c>
      <c r="F2" s="8">
        <v>2</v>
      </c>
      <c r="G2" s="2">
        <v>60029000</v>
      </c>
      <c r="H2" s="2">
        <v>5</v>
      </c>
      <c r="I2" s="2">
        <v>45</v>
      </c>
      <c r="J2" s="2"/>
    </row>
    <row r="3" spans="1:10" x14ac:dyDescent="0.45">
      <c r="A3" s="2"/>
      <c r="B3" s="2" t="s">
        <v>195</v>
      </c>
      <c r="C3" s="8" t="s">
        <v>189</v>
      </c>
      <c r="D3" s="2" t="s">
        <v>60</v>
      </c>
      <c r="E3" s="2" t="s">
        <v>131</v>
      </c>
      <c r="F3" s="8">
        <v>2</v>
      </c>
      <c r="G3" s="2">
        <v>60029000</v>
      </c>
      <c r="H3" s="2">
        <v>5</v>
      </c>
      <c r="I3" s="2">
        <v>30</v>
      </c>
      <c r="J3" s="2"/>
    </row>
    <row r="4" spans="1:10" x14ac:dyDescent="0.45">
      <c r="A4" s="2"/>
      <c r="B4" s="2" t="s">
        <v>195</v>
      </c>
      <c r="C4" s="8" t="s">
        <v>189</v>
      </c>
      <c r="D4" s="2" t="s">
        <v>61</v>
      </c>
      <c r="E4" s="2" t="s">
        <v>132</v>
      </c>
      <c r="F4" s="8">
        <v>2</v>
      </c>
      <c r="G4" s="2">
        <v>60029000</v>
      </c>
      <c r="H4" s="2">
        <v>5</v>
      </c>
      <c r="I4" s="2">
        <v>10</v>
      </c>
      <c r="J4" s="2"/>
    </row>
    <row r="5" spans="1:10" x14ac:dyDescent="0.45">
      <c r="A5" s="2"/>
      <c r="B5" s="2" t="s">
        <v>195</v>
      </c>
      <c r="C5" s="8" t="s">
        <v>189</v>
      </c>
      <c r="D5" s="2" t="s">
        <v>62</v>
      </c>
      <c r="E5" s="2" t="s">
        <v>135</v>
      </c>
      <c r="F5" s="8">
        <v>2</v>
      </c>
      <c r="G5" s="2">
        <v>60029000</v>
      </c>
      <c r="H5" s="2">
        <v>5</v>
      </c>
      <c r="I5" s="2">
        <v>10</v>
      </c>
      <c r="J5" s="2"/>
    </row>
    <row r="6" spans="1:10" x14ac:dyDescent="0.45">
      <c r="A6" s="2"/>
      <c r="B6" s="2" t="s">
        <v>195</v>
      </c>
      <c r="C6" s="8" t="s">
        <v>189</v>
      </c>
      <c r="D6" s="2" t="s">
        <v>63</v>
      </c>
      <c r="E6" s="2" t="s">
        <v>137</v>
      </c>
      <c r="F6" s="2">
        <v>2.25</v>
      </c>
      <c r="G6" s="2">
        <v>60029000</v>
      </c>
      <c r="H6" s="2">
        <v>5</v>
      </c>
      <c r="I6" s="2">
        <v>24450</v>
      </c>
      <c r="J6" s="2"/>
    </row>
    <row r="7" spans="1:10" x14ac:dyDescent="0.45">
      <c r="A7" s="2"/>
      <c r="B7" s="2" t="s">
        <v>195</v>
      </c>
      <c r="C7" s="8" t="s">
        <v>189</v>
      </c>
      <c r="D7" s="2" t="s">
        <v>64</v>
      </c>
      <c r="E7" s="2" t="s">
        <v>146</v>
      </c>
      <c r="F7" s="2">
        <v>50</v>
      </c>
      <c r="G7" s="2">
        <v>60029000</v>
      </c>
      <c r="H7" s="2">
        <v>5</v>
      </c>
      <c r="I7" s="2">
        <v>30</v>
      </c>
      <c r="J7" s="2"/>
    </row>
    <row r="8" spans="1:10" x14ac:dyDescent="0.45">
      <c r="A8" s="2"/>
      <c r="B8" s="2" t="s">
        <v>195</v>
      </c>
      <c r="C8" s="8" t="s">
        <v>189</v>
      </c>
      <c r="D8" s="2" t="s">
        <v>174</v>
      </c>
      <c r="E8" s="2"/>
      <c r="F8" s="8">
        <v>3.5</v>
      </c>
      <c r="G8" s="2">
        <v>60029000</v>
      </c>
      <c r="H8" s="2">
        <v>5</v>
      </c>
      <c r="I8" s="2">
        <v>0</v>
      </c>
      <c r="J8" s="2"/>
    </row>
    <row r="9" spans="1:10" x14ac:dyDescent="0.45">
      <c r="A9" s="2"/>
      <c r="B9" s="2" t="s">
        <v>16</v>
      </c>
      <c r="C9" s="8" t="s">
        <v>184</v>
      </c>
      <c r="D9" s="2" t="s">
        <v>29</v>
      </c>
      <c r="E9" s="2" t="s">
        <v>35</v>
      </c>
      <c r="F9" s="2">
        <v>300</v>
      </c>
      <c r="G9" s="2">
        <v>54071099</v>
      </c>
      <c r="H9" s="2">
        <v>5</v>
      </c>
      <c r="I9" s="2">
        <v>5</v>
      </c>
      <c r="J9" s="2"/>
    </row>
    <row r="10" spans="1:10" x14ac:dyDescent="0.45">
      <c r="A10" s="2"/>
      <c r="B10" s="2" t="s">
        <v>16</v>
      </c>
      <c r="C10" s="8" t="s">
        <v>185</v>
      </c>
      <c r="D10" s="2" t="s">
        <v>33</v>
      </c>
      <c r="E10" s="2" t="s">
        <v>43</v>
      </c>
      <c r="F10" s="2">
        <v>52</v>
      </c>
      <c r="G10" s="2">
        <v>60053100</v>
      </c>
      <c r="H10" s="2">
        <v>5</v>
      </c>
      <c r="I10" s="2">
        <v>6928</v>
      </c>
      <c r="J10" s="2"/>
    </row>
    <row r="11" spans="1:10" x14ac:dyDescent="0.45">
      <c r="A11" s="2"/>
      <c r="B11" s="2" t="s">
        <v>16</v>
      </c>
      <c r="C11" s="8" t="s">
        <v>186</v>
      </c>
      <c r="D11" s="2" t="s">
        <v>34</v>
      </c>
      <c r="E11" s="2" t="s">
        <v>46</v>
      </c>
      <c r="F11" s="2">
        <v>170</v>
      </c>
      <c r="G11" s="2">
        <v>39269080</v>
      </c>
      <c r="H11" s="2">
        <v>18</v>
      </c>
      <c r="I11" s="2">
        <v>25</v>
      </c>
      <c r="J11" s="2"/>
    </row>
    <row r="12" spans="1:10" x14ac:dyDescent="0.45">
      <c r="A12" s="2"/>
      <c r="B12" s="2" t="s">
        <v>16</v>
      </c>
      <c r="C12" s="8" t="s">
        <v>184</v>
      </c>
      <c r="D12" s="2" t="s">
        <v>38</v>
      </c>
      <c r="E12" s="2" t="s">
        <v>60</v>
      </c>
      <c r="F12" s="2">
        <v>105</v>
      </c>
      <c r="G12" s="2">
        <v>59031090</v>
      </c>
      <c r="H12" s="2">
        <v>5</v>
      </c>
      <c r="I12" s="2">
        <v>6.8340000000000032</v>
      </c>
      <c r="J12" s="2"/>
    </row>
    <row r="13" spans="1:10" x14ac:dyDescent="0.45">
      <c r="A13" s="2"/>
      <c r="B13" s="2" t="s">
        <v>16</v>
      </c>
      <c r="C13" s="8" t="s">
        <v>184</v>
      </c>
      <c r="D13" s="2" t="s">
        <v>39</v>
      </c>
      <c r="E13" s="2" t="s">
        <v>61</v>
      </c>
      <c r="F13" s="2">
        <v>90</v>
      </c>
      <c r="G13" s="2">
        <v>59031090</v>
      </c>
      <c r="H13" s="2">
        <v>5</v>
      </c>
      <c r="I13" s="2">
        <v>450</v>
      </c>
      <c r="J13" s="2"/>
    </row>
    <row r="14" spans="1:10" x14ac:dyDescent="0.45">
      <c r="A14" s="2"/>
      <c r="B14" s="2" t="s">
        <v>16</v>
      </c>
      <c r="C14" s="8" t="s">
        <v>184</v>
      </c>
      <c r="D14" s="2" t="s">
        <v>40</v>
      </c>
      <c r="E14" s="2" t="s">
        <v>62</v>
      </c>
      <c r="F14" s="8">
        <v>98</v>
      </c>
      <c r="G14" s="2">
        <v>59031090</v>
      </c>
      <c r="H14" s="2">
        <v>5</v>
      </c>
      <c r="I14" s="2">
        <v>0</v>
      </c>
      <c r="J14" s="2"/>
    </row>
    <row r="15" spans="1:10" x14ac:dyDescent="0.45">
      <c r="A15" s="2"/>
      <c r="B15" s="2" t="s">
        <v>16</v>
      </c>
      <c r="C15" s="8" t="s">
        <v>184</v>
      </c>
      <c r="D15" s="2" t="s">
        <v>41</v>
      </c>
      <c r="E15" s="2" t="s">
        <v>65</v>
      </c>
      <c r="F15" s="2">
        <v>74</v>
      </c>
      <c r="G15" s="2">
        <v>590310</v>
      </c>
      <c r="H15" s="2">
        <v>5</v>
      </c>
      <c r="I15" s="2">
        <v>0</v>
      </c>
      <c r="J15" s="2"/>
    </row>
    <row r="16" spans="1:10" x14ac:dyDescent="0.45">
      <c r="A16" s="2"/>
      <c r="B16" s="2" t="s">
        <v>16</v>
      </c>
      <c r="C16" s="8" t="s">
        <v>184</v>
      </c>
      <c r="D16" s="2" t="s">
        <v>55</v>
      </c>
      <c r="E16" s="2" t="s">
        <v>93</v>
      </c>
      <c r="F16" s="2">
        <v>200</v>
      </c>
      <c r="G16" s="2">
        <v>59031010</v>
      </c>
      <c r="H16" s="2">
        <v>5</v>
      </c>
      <c r="I16" s="2">
        <v>10</v>
      </c>
      <c r="J16" s="2"/>
    </row>
    <row r="17" spans="1:10" x14ac:dyDescent="0.45">
      <c r="A17" s="2"/>
      <c r="B17" s="2" t="s">
        <v>16</v>
      </c>
      <c r="C17" s="8" t="s">
        <v>184</v>
      </c>
      <c r="D17" s="2" t="s">
        <v>56</v>
      </c>
      <c r="E17" s="2" t="s">
        <v>94</v>
      </c>
      <c r="F17" s="2">
        <v>150</v>
      </c>
      <c r="G17" s="2">
        <v>54071019</v>
      </c>
      <c r="H17" s="2">
        <v>5</v>
      </c>
      <c r="I17" s="2">
        <v>10</v>
      </c>
      <c r="J17" s="2"/>
    </row>
    <row r="18" spans="1:10" x14ac:dyDescent="0.45">
      <c r="A18" s="2"/>
      <c r="B18" s="2" t="s">
        <v>16</v>
      </c>
      <c r="C18" s="8" t="s">
        <v>186</v>
      </c>
      <c r="D18" s="2" t="s">
        <v>57</v>
      </c>
      <c r="E18" s="2" t="s">
        <v>96</v>
      </c>
      <c r="F18" s="2">
        <v>49.5</v>
      </c>
      <c r="G18" s="2">
        <v>30201012</v>
      </c>
      <c r="H18" s="2">
        <v>18</v>
      </c>
      <c r="I18" s="2">
        <v>200</v>
      </c>
      <c r="J18" s="2"/>
    </row>
    <row r="19" spans="1:10" x14ac:dyDescent="0.45">
      <c r="A19" s="2"/>
      <c r="B19" s="2" t="s">
        <v>16</v>
      </c>
      <c r="C19" s="8" t="s">
        <v>184</v>
      </c>
      <c r="D19" s="2" t="s">
        <v>71</v>
      </c>
      <c r="E19" s="2" t="s">
        <v>172</v>
      </c>
      <c r="F19" s="2">
        <v>25</v>
      </c>
      <c r="G19" s="2">
        <v>5407</v>
      </c>
      <c r="H19" s="2">
        <v>5</v>
      </c>
      <c r="I19" s="2">
        <v>200.20000000000073</v>
      </c>
      <c r="J19" s="2"/>
    </row>
    <row r="20" spans="1:10" x14ac:dyDescent="0.45">
      <c r="A20" s="2"/>
      <c r="B20" s="2" t="s">
        <v>16</v>
      </c>
      <c r="C20" s="8" t="s">
        <v>184</v>
      </c>
      <c r="D20" s="2" t="s">
        <v>194</v>
      </c>
      <c r="E20" s="2" t="s">
        <v>176</v>
      </c>
      <c r="F20" s="2">
        <v>72</v>
      </c>
      <c r="G20" s="2">
        <v>59031090</v>
      </c>
      <c r="H20" s="2">
        <v>5</v>
      </c>
      <c r="I20" s="2">
        <v>250</v>
      </c>
      <c r="J20" s="2"/>
    </row>
    <row r="21" spans="1:10" x14ac:dyDescent="0.45">
      <c r="A21" s="2"/>
      <c r="B21" s="2" t="s">
        <v>16</v>
      </c>
      <c r="C21" s="8" t="s">
        <v>184</v>
      </c>
      <c r="D21" s="2" t="s">
        <v>74</v>
      </c>
      <c r="E21" s="2" t="s">
        <v>177</v>
      </c>
      <c r="F21" s="2">
        <v>73</v>
      </c>
      <c r="G21" s="2">
        <v>54071019</v>
      </c>
      <c r="H21" s="2">
        <v>5</v>
      </c>
      <c r="I21" s="2">
        <v>0.1999999999998181</v>
      </c>
      <c r="J21" s="2"/>
    </row>
    <row r="22" spans="1:10" x14ac:dyDescent="0.45">
      <c r="A22" s="2"/>
      <c r="B22" s="2" t="s">
        <v>16</v>
      </c>
      <c r="C22" s="8" t="s">
        <v>184</v>
      </c>
      <c r="D22" s="2" t="s">
        <v>78</v>
      </c>
      <c r="E22" s="2"/>
      <c r="F22" s="2">
        <v>100</v>
      </c>
      <c r="G22" s="2">
        <v>590310</v>
      </c>
      <c r="H22" s="2">
        <v>5</v>
      </c>
      <c r="I22" s="2">
        <v>320</v>
      </c>
      <c r="J22" s="2"/>
    </row>
    <row r="23" spans="1:10" x14ac:dyDescent="0.45">
      <c r="A23" s="2"/>
      <c r="B23" s="2" t="s">
        <v>16</v>
      </c>
      <c r="C23" s="8" t="s">
        <v>184</v>
      </c>
      <c r="D23" s="2" t="s">
        <v>79</v>
      </c>
      <c r="E23" s="2"/>
      <c r="F23" s="2">
        <v>155</v>
      </c>
      <c r="G23" s="2">
        <v>39204300</v>
      </c>
      <c r="H23" s="2">
        <v>18</v>
      </c>
      <c r="I23" s="2">
        <v>53.364000000000033</v>
      </c>
      <c r="J23" s="2"/>
    </row>
    <row r="24" spans="1:10" x14ac:dyDescent="0.45">
      <c r="A24" s="2"/>
      <c r="B24" s="2" t="s">
        <v>16</v>
      </c>
      <c r="C24" s="8" t="s">
        <v>184</v>
      </c>
      <c r="D24" s="2" t="s">
        <v>83</v>
      </c>
      <c r="E24" s="2"/>
      <c r="F24" s="8">
        <v>90</v>
      </c>
      <c r="G24" s="2">
        <v>590310</v>
      </c>
      <c r="H24" s="2">
        <v>5</v>
      </c>
      <c r="I24" s="2">
        <v>0</v>
      </c>
      <c r="J24" s="2"/>
    </row>
    <row r="25" spans="1:10" x14ac:dyDescent="0.45">
      <c r="A25" s="2"/>
      <c r="B25" s="2" t="s">
        <v>16</v>
      </c>
      <c r="C25" s="8" t="s">
        <v>184</v>
      </c>
      <c r="D25" s="2" t="s">
        <v>163</v>
      </c>
      <c r="E25" s="2"/>
      <c r="F25" s="2">
        <v>227</v>
      </c>
      <c r="G25" s="2">
        <v>39269080</v>
      </c>
      <c r="H25" s="2">
        <v>18</v>
      </c>
      <c r="I25" s="2">
        <v>33129.599999999999</v>
      </c>
      <c r="J25" s="2"/>
    </row>
    <row r="26" spans="1:10" x14ac:dyDescent="0.45">
      <c r="A26" s="2"/>
      <c r="B26" s="2" t="s">
        <v>16</v>
      </c>
      <c r="C26" s="8" t="s">
        <v>186</v>
      </c>
      <c r="D26" s="2" t="s">
        <v>175</v>
      </c>
      <c r="E26" s="2"/>
      <c r="F26" s="2">
        <v>72</v>
      </c>
      <c r="G26" s="2">
        <v>59031090</v>
      </c>
      <c r="H26" s="2">
        <v>5</v>
      </c>
      <c r="I26" s="2">
        <v>7168</v>
      </c>
      <c r="J26" s="2"/>
    </row>
    <row r="27" spans="1:10" x14ac:dyDescent="0.45">
      <c r="A27" s="2"/>
      <c r="B27" s="2" t="s">
        <v>16</v>
      </c>
      <c r="C27" s="8" t="s">
        <v>184</v>
      </c>
      <c r="D27" s="2" t="s">
        <v>180</v>
      </c>
      <c r="E27" s="2"/>
      <c r="F27" s="2">
        <v>25</v>
      </c>
      <c r="G27" s="2">
        <v>5407</v>
      </c>
      <c r="H27" s="2">
        <v>5</v>
      </c>
      <c r="I27" s="2">
        <v>0</v>
      </c>
      <c r="J27" s="2"/>
    </row>
    <row r="28" spans="1:10" x14ac:dyDescent="0.45">
      <c r="A28" s="2"/>
      <c r="B28" s="2" t="s">
        <v>195</v>
      </c>
      <c r="C28" s="8" t="s">
        <v>21</v>
      </c>
      <c r="D28" s="2" t="s">
        <v>50</v>
      </c>
      <c r="E28" s="2" t="s">
        <v>82</v>
      </c>
      <c r="F28" s="2">
        <v>1949.2</v>
      </c>
      <c r="G28" s="2">
        <v>39201019</v>
      </c>
      <c r="H28" s="2">
        <v>18</v>
      </c>
      <c r="I28" s="2">
        <v>23</v>
      </c>
      <c r="J28" s="2"/>
    </row>
    <row r="29" spans="1:10" x14ac:dyDescent="0.45">
      <c r="A29" s="2"/>
      <c r="B29" s="2" t="s">
        <v>195</v>
      </c>
      <c r="C29" s="8" t="s">
        <v>21</v>
      </c>
      <c r="D29" s="2" t="s">
        <v>51</v>
      </c>
      <c r="E29" s="2" t="s">
        <v>83</v>
      </c>
      <c r="F29" s="2">
        <v>2419.1999999999998</v>
      </c>
      <c r="G29" s="2">
        <v>39201019</v>
      </c>
      <c r="H29" s="2">
        <v>18</v>
      </c>
      <c r="I29" s="2">
        <v>39</v>
      </c>
      <c r="J29" s="2"/>
    </row>
    <row r="30" spans="1:10" x14ac:dyDescent="0.45">
      <c r="A30" s="2"/>
      <c r="B30" s="2" t="s">
        <v>195</v>
      </c>
      <c r="C30" s="8" t="s">
        <v>21</v>
      </c>
      <c r="D30" s="2" t="s">
        <v>52</v>
      </c>
      <c r="E30" s="2" t="s">
        <v>86</v>
      </c>
      <c r="F30" s="2">
        <v>2729</v>
      </c>
      <c r="G30" s="2">
        <v>39201019</v>
      </c>
      <c r="H30" s="2">
        <v>18</v>
      </c>
      <c r="I30" s="2">
        <v>51</v>
      </c>
      <c r="J30" s="2"/>
    </row>
    <row r="31" spans="1:10" x14ac:dyDescent="0.45">
      <c r="A31" s="2"/>
      <c r="B31" s="2" t="s">
        <v>195</v>
      </c>
      <c r="C31" s="8" t="s">
        <v>21</v>
      </c>
      <c r="D31" s="2" t="s">
        <v>53</v>
      </c>
      <c r="E31" s="2" t="s">
        <v>87</v>
      </c>
      <c r="F31" s="2">
        <v>1630.8</v>
      </c>
      <c r="G31" s="2">
        <v>39201019</v>
      </c>
      <c r="H31" s="2">
        <v>18</v>
      </c>
      <c r="I31" s="2">
        <v>38.5</v>
      </c>
      <c r="J31" s="2"/>
    </row>
    <row r="32" spans="1:10" x14ac:dyDescent="0.45">
      <c r="A32" s="2"/>
      <c r="B32" s="2" t="s">
        <v>195</v>
      </c>
      <c r="C32" s="8" t="s">
        <v>188</v>
      </c>
      <c r="D32" s="2" t="s">
        <v>54</v>
      </c>
      <c r="E32" s="2" t="s">
        <v>91</v>
      </c>
      <c r="F32" s="2">
        <v>62.11</v>
      </c>
      <c r="G32" s="2">
        <v>39211900</v>
      </c>
      <c r="H32" s="2">
        <v>18</v>
      </c>
      <c r="I32" s="2">
        <v>420</v>
      </c>
      <c r="J32" s="2"/>
    </row>
    <row r="33" spans="1:10" x14ac:dyDescent="0.45">
      <c r="A33" s="2"/>
      <c r="B33" s="2" t="s">
        <v>195</v>
      </c>
      <c r="C33" s="8" t="s">
        <v>21</v>
      </c>
      <c r="D33" s="2" t="s">
        <v>69</v>
      </c>
      <c r="E33" s="2" t="s">
        <v>170</v>
      </c>
      <c r="F33" s="2">
        <v>120</v>
      </c>
      <c r="G33" s="2">
        <v>5903</v>
      </c>
      <c r="H33" s="2">
        <v>5</v>
      </c>
      <c r="I33" s="2">
        <v>5</v>
      </c>
      <c r="J33" s="2"/>
    </row>
    <row r="34" spans="1:10" x14ac:dyDescent="0.45">
      <c r="A34" s="2"/>
      <c r="B34" s="2" t="s">
        <v>196</v>
      </c>
      <c r="C34" s="8" t="s">
        <v>193</v>
      </c>
      <c r="D34" s="2" t="s">
        <v>161</v>
      </c>
      <c r="E34" s="2"/>
      <c r="F34" s="2">
        <v>211.87</v>
      </c>
      <c r="G34" s="2">
        <v>39249090</v>
      </c>
      <c r="H34" s="2">
        <v>18</v>
      </c>
      <c r="I34" s="2">
        <v>60</v>
      </c>
      <c r="J34" s="2"/>
    </row>
    <row r="35" spans="1:10" x14ac:dyDescent="0.45">
      <c r="A35" s="2"/>
      <c r="B35" s="2" t="s">
        <v>196</v>
      </c>
      <c r="C35" s="8" t="s">
        <v>193</v>
      </c>
      <c r="D35" s="2" t="s">
        <v>165</v>
      </c>
      <c r="E35" s="2"/>
      <c r="F35" s="2">
        <v>1400</v>
      </c>
      <c r="G35" s="2">
        <v>4415</v>
      </c>
      <c r="H35" s="2">
        <v>5</v>
      </c>
      <c r="I35" s="2">
        <v>52</v>
      </c>
      <c r="J35" s="2"/>
    </row>
    <row r="36" spans="1:10" x14ac:dyDescent="0.45">
      <c r="A36" s="2"/>
      <c r="B36" s="2" t="s">
        <v>195</v>
      </c>
      <c r="C36" s="8" t="s">
        <v>187</v>
      </c>
      <c r="D36" s="2" t="s">
        <v>37</v>
      </c>
      <c r="E36" s="2" t="s">
        <v>59</v>
      </c>
      <c r="F36" s="2">
        <v>568</v>
      </c>
      <c r="G36" s="2">
        <v>39202090</v>
      </c>
      <c r="H36" s="2">
        <v>18</v>
      </c>
      <c r="I36" s="2">
        <v>106</v>
      </c>
      <c r="J36" s="2"/>
    </row>
    <row r="37" spans="1:10" x14ac:dyDescent="0.45">
      <c r="A37" s="2"/>
      <c r="B37" s="2" t="s">
        <v>195</v>
      </c>
      <c r="C37" s="2" t="s">
        <v>19</v>
      </c>
      <c r="D37" s="8" t="s">
        <v>198</v>
      </c>
      <c r="E37" s="2"/>
      <c r="F37" s="2">
        <v>210.87</v>
      </c>
      <c r="G37" s="2">
        <v>39202090</v>
      </c>
      <c r="H37" s="2">
        <v>18</v>
      </c>
      <c r="I37" s="2">
        <v>40</v>
      </c>
      <c r="J37" s="2"/>
    </row>
    <row r="38" spans="1:10" x14ac:dyDescent="0.45">
      <c r="A38" s="2"/>
      <c r="B38" s="2" t="s">
        <v>195</v>
      </c>
      <c r="C38" s="2" t="s">
        <v>19</v>
      </c>
      <c r="D38" s="8" t="s">
        <v>199</v>
      </c>
      <c r="E38" s="2"/>
      <c r="F38" s="2">
        <v>17.329999999999998</v>
      </c>
      <c r="G38" s="2">
        <v>39202090</v>
      </c>
      <c r="H38" s="2">
        <v>18</v>
      </c>
      <c r="I38" s="2">
        <v>12000</v>
      </c>
      <c r="J38" s="2"/>
    </row>
    <row r="39" spans="1:10" x14ac:dyDescent="0.45">
      <c r="A39" s="2"/>
      <c r="B39" s="2" t="s">
        <v>195</v>
      </c>
      <c r="C39" s="2" t="s">
        <v>19</v>
      </c>
      <c r="D39" s="8" t="s">
        <v>200</v>
      </c>
      <c r="E39" s="2"/>
      <c r="F39" s="2">
        <v>17.989999999999998</v>
      </c>
      <c r="G39" s="2">
        <v>39202090</v>
      </c>
      <c r="H39" s="2">
        <v>18</v>
      </c>
      <c r="I39" s="2">
        <v>12000</v>
      </c>
      <c r="J39" s="2"/>
    </row>
    <row r="40" spans="1:10" x14ac:dyDescent="0.45">
      <c r="A40" s="2"/>
      <c r="B40" s="2" t="s">
        <v>195</v>
      </c>
      <c r="C40" s="2" t="s">
        <v>19</v>
      </c>
      <c r="D40" s="8" t="s">
        <v>201</v>
      </c>
      <c r="E40" s="2"/>
      <c r="F40" s="2">
        <v>11.03</v>
      </c>
      <c r="G40" s="2">
        <v>39202090</v>
      </c>
      <c r="H40" s="2">
        <v>18</v>
      </c>
      <c r="I40" s="2">
        <v>5222</v>
      </c>
      <c r="J40" s="2"/>
    </row>
    <row r="41" spans="1:10" x14ac:dyDescent="0.45">
      <c r="A41" s="2"/>
      <c r="B41" s="2" t="s">
        <v>195</v>
      </c>
      <c r="C41" s="2" t="s">
        <v>19</v>
      </c>
      <c r="D41" s="8" t="s">
        <v>202</v>
      </c>
      <c r="E41" s="2"/>
      <c r="F41" s="2">
        <v>9.9499999999999993</v>
      </c>
      <c r="G41" s="2">
        <v>39202090</v>
      </c>
      <c r="H41" s="2">
        <v>18</v>
      </c>
      <c r="I41" s="2">
        <v>5222</v>
      </c>
      <c r="J41" s="2"/>
    </row>
    <row r="42" spans="1:10" x14ac:dyDescent="0.45">
      <c r="A42" s="2"/>
      <c r="B42" s="2" t="s">
        <v>195</v>
      </c>
      <c r="C42" s="2" t="s">
        <v>19</v>
      </c>
      <c r="D42" s="8" t="s">
        <v>203</v>
      </c>
      <c r="E42" s="2"/>
      <c r="F42" s="2">
        <v>17.45</v>
      </c>
      <c r="G42" s="2">
        <v>39202090</v>
      </c>
      <c r="H42" s="2">
        <v>18</v>
      </c>
      <c r="I42" s="2">
        <v>10444</v>
      </c>
      <c r="J42" s="2"/>
    </row>
    <row r="43" spans="1:10" x14ac:dyDescent="0.45">
      <c r="A43" s="2"/>
      <c r="B43" s="2" t="s">
        <v>195</v>
      </c>
      <c r="C43" s="2" t="s">
        <v>19</v>
      </c>
      <c r="D43" s="8" t="s">
        <v>204</v>
      </c>
      <c r="E43" s="2"/>
      <c r="F43" s="2">
        <v>6.97</v>
      </c>
      <c r="G43" s="2">
        <v>39202090</v>
      </c>
      <c r="H43" s="2">
        <v>18</v>
      </c>
      <c r="I43" s="2">
        <v>20888</v>
      </c>
      <c r="J43" s="2"/>
    </row>
    <row r="44" spans="1:10" x14ac:dyDescent="0.45">
      <c r="A44" s="2"/>
      <c r="B44" s="2" t="s">
        <v>195</v>
      </c>
      <c r="C44" s="2" t="s">
        <v>19</v>
      </c>
      <c r="D44" s="8" t="s">
        <v>205</v>
      </c>
      <c r="E44" s="2"/>
      <c r="F44" s="2">
        <v>3.5</v>
      </c>
      <c r="G44" s="2">
        <v>3920</v>
      </c>
      <c r="H44" s="2">
        <v>18</v>
      </c>
      <c r="I44" s="2">
        <v>2747</v>
      </c>
      <c r="J44" s="2"/>
    </row>
    <row r="45" spans="1:10" x14ac:dyDescent="0.45">
      <c r="A45" s="2"/>
      <c r="B45" s="2" t="s">
        <v>195</v>
      </c>
      <c r="C45" s="2" t="s">
        <v>19</v>
      </c>
      <c r="D45" s="8" t="s">
        <v>206</v>
      </c>
      <c r="E45" s="2"/>
      <c r="F45" s="2">
        <v>0.55000000000000004</v>
      </c>
      <c r="G45" s="2">
        <v>39211100</v>
      </c>
      <c r="H45" s="2">
        <v>18</v>
      </c>
      <c r="I45" s="2">
        <v>61444</v>
      </c>
      <c r="J45" s="2"/>
    </row>
    <row r="46" spans="1:10" x14ac:dyDescent="0.45">
      <c r="A46" s="2"/>
      <c r="B46" s="2" t="s">
        <v>195</v>
      </c>
      <c r="C46" s="2" t="s">
        <v>19</v>
      </c>
      <c r="D46" s="8" t="s">
        <v>207</v>
      </c>
      <c r="E46" s="2"/>
      <c r="F46" s="2">
        <v>66</v>
      </c>
      <c r="G46" s="2">
        <v>39211100</v>
      </c>
      <c r="H46" s="2">
        <v>18</v>
      </c>
      <c r="I46" s="2">
        <v>83150</v>
      </c>
      <c r="J46" s="2"/>
    </row>
    <row r="47" spans="1:10" x14ac:dyDescent="0.45">
      <c r="A47" s="2"/>
      <c r="B47" s="2" t="s">
        <v>195</v>
      </c>
      <c r="C47" s="2" t="s">
        <v>19</v>
      </c>
      <c r="D47" s="8" t="s">
        <v>208</v>
      </c>
      <c r="E47" s="2"/>
      <c r="F47" s="2">
        <v>0.73</v>
      </c>
      <c r="G47" s="2">
        <v>39211100</v>
      </c>
      <c r="H47" s="2">
        <v>18</v>
      </c>
      <c r="I47" s="2">
        <v>45878</v>
      </c>
      <c r="J47" s="2"/>
    </row>
    <row r="48" spans="1:10" x14ac:dyDescent="0.45">
      <c r="A48" s="2"/>
      <c r="B48" s="2" t="s">
        <v>195</v>
      </c>
      <c r="C48" s="2" t="s">
        <v>19</v>
      </c>
      <c r="D48" s="8" t="s">
        <v>209</v>
      </c>
      <c r="E48" s="2"/>
      <c r="F48" s="2">
        <v>5.76</v>
      </c>
      <c r="G48" s="2">
        <v>3920</v>
      </c>
      <c r="H48" s="2">
        <v>18</v>
      </c>
      <c r="I48" s="2">
        <v>65000</v>
      </c>
      <c r="J48" s="2"/>
    </row>
    <row r="49" spans="1:10" x14ac:dyDescent="0.45">
      <c r="A49" s="2"/>
      <c r="B49" s="2" t="s">
        <v>195</v>
      </c>
      <c r="C49" s="2" t="s">
        <v>19</v>
      </c>
      <c r="D49" s="8" t="s">
        <v>210</v>
      </c>
      <c r="E49" s="2"/>
      <c r="F49" s="2">
        <v>6.74</v>
      </c>
      <c r="G49" s="2">
        <v>3920</v>
      </c>
      <c r="H49" s="2">
        <v>18</v>
      </c>
      <c r="I49" s="2">
        <v>65900</v>
      </c>
      <c r="J49" s="2"/>
    </row>
    <row r="50" spans="1:10" x14ac:dyDescent="0.45">
      <c r="A50" s="2"/>
      <c r="B50" s="2" t="s">
        <v>195</v>
      </c>
      <c r="C50" s="2" t="s">
        <v>26</v>
      </c>
      <c r="D50" s="8" t="s">
        <v>211</v>
      </c>
      <c r="E50" s="2"/>
      <c r="F50" s="2">
        <v>11.37</v>
      </c>
      <c r="G50" s="2">
        <v>39202090</v>
      </c>
      <c r="H50" s="2">
        <v>18</v>
      </c>
      <c r="I50" s="2">
        <v>68909</v>
      </c>
      <c r="J50" s="2"/>
    </row>
    <row r="51" spans="1:10" x14ac:dyDescent="0.45">
      <c r="A51" s="2"/>
      <c r="B51" s="2" t="s">
        <v>195</v>
      </c>
      <c r="C51" s="2" t="s">
        <v>26</v>
      </c>
      <c r="D51" s="8" t="s">
        <v>212</v>
      </c>
      <c r="E51" s="2"/>
      <c r="F51" s="2">
        <v>5.4</v>
      </c>
      <c r="G51" s="2">
        <v>39202090</v>
      </c>
      <c r="H51" s="2">
        <v>18</v>
      </c>
      <c r="I51" s="2">
        <v>140000</v>
      </c>
      <c r="J51" s="2"/>
    </row>
    <row r="52" spans="1:10" x14ac:dyDescent="0.45">
      <c r="A52" s="2"/>
      <c r="B52" s="2" t="s">
        <v>195</v>
      </c>
      <c r="C52" s="2" t="s">
        <v>19</v>
      </c>
      <c r="D52" s="8" t="s">
        <v>213</v>
      </c>
      <c r="E52" s="2"/>
      <c r="F52" s="2">
        <v>15.34</v>
      </c>
      <c r="G52" s="2">
        <v>39202090</v>
      </c>
      <c r="H52" s="2">
        <v>18</v>
      </c>
      <c r="I52" s="2">
        <v>0</v>
      </c>
      <c r="J52" s="2"/>
    </row>
    <row r="53" spans="1:10" x14ac:dyDescent="0.45">
      <c r="A53" s="2"/>
      <c r="B53" s="2" t="s">
        <v>195</v>
      </c>
      <c r="C53" s="2" t="s">
        <v>19</v>
      </c>
      <c r="D53" s="8" t="s">
        <v>214</v>
      </c>
      <c r="E53" s="2"/>
      <c r="F53" s="8"/>
      <c r="G53" s="2">
        <v>39202090</v>
      </c>
      <c r="H53" s="2">
        <v>18</v>
      </c>
      <c r="I53" s="2">
        <v>0</v>
      </c>
      <c r="J53" s="2"/>
    </row>
    <row r="54" spans="1:10" x14ac:dyDescent="0.45">
      <c r="A54" s="2"/>
      <c r="B54" s="2" t="s">
        <v>195</v>
      </c>
      <c r="C54" s="2" t="s">
        <v>19</v>
      </c>
      <c r="D54" s="8" t="s">
        <v>215</v>
      </c>
      <c r="E54" s="2"/>
      <c r="F54" s="8"/>
      <c r="G54" s="2">
        <v>39202090</v>
      </c>
      <c r="H54" s="2">
        <v>18</v>
      </c>
      <c r="I54" s="2">
        <v>0</v>
      </c>
      <c r="J54" s="2"/>
    </row>
    <row r="55" spans="1:10" x14ac:dyDescent="0.45">
      <c r="A55" s="2"/>
      <c r="B55" s="2" t="s">
        <v>195</v>
      </c>
      <c r="C55" s="2" t="s">
        <v>19</v>
      </c>
      <c r="D55" s="8" t="s">
        <v>216</v>
      </c>
      <c r="E55" s="2"/>
      <c r="F55" s="2">
        <v>15.34</v>
      </c>
      <c r="G55" s="2">
        <v>39202090</v>
      </c>
      <c r="H55" s="2">
        <v>18</v>
      </c>
      <c r="I55" s="2">
        <v>0</v>
      </c>
      <c r="J55" s="2"/>
    </row>
    <row r="56" spans="1:10" x14ac:dyDescent="0.45">
      <c r="A56" s="2"/>
      <c r="B56" s="2" t="s">
        <v>196</v>
      </c>
      <c r="C56" s="2" t="s">
        <v>24</v>
      </c>
      <c r="D56" s="8" t="s">
        <v>217</v>
      </c>
      <c r="E56" s="2"/>
      <c r="F56" s="2">
        <v>88000</v>
      </c>
      <c r="G56" s="2">
        <v>84437604</v>
      </c>
      <c r="H56" s="2">
        <v>18</v>
      </c>
      <c r="I56" s="2">
        <v>1</v>
      </c>
      <c r="J56" s="2"/>
    </row>
    <row r="57" spans="1:10" x14ac:dyDescent="0.45">
      <c r="A57" s="2"/>
      <c r="B57" s="2" t="s">
        <v>195</v>
      </c>
      <c r="C57" s="2" t="s">
        <v>18</v>
      </c>
      <c r="D57" s="8" t="s">
        <v>218</v>
      </c>
      <c r="E57" s="2" t="s">
        <v>44</v>
      </c>
      <c r="F57" s="2">
        <v>650</v>
      </c>
      <c r="G57" s="2">
        <v>76042100</v>
      </c>
      <c r="H57" s="2">
        <v>18</v>
      </c>
      <c r="I57" s="2">
        <v>8</v>
      </c>
      <c r="J57" s="2"/>
    </row>
    <row r="58" spans="1:10" x14ac:dyDescent="0.45">
      <c r="A58" s="2"/>
      <c r="B58" s="2" t="s">
        <v>195</v>
      </c>
      <c r="C58" s="2" t="s">
        <v>18</v>
      </c>
      <c r="D58" s="8" t="s">
        <v>219</v>
      </c>
      <c r="E58" s="2" t="s">
        <v>45</v>
      </c>
      <c r="F58" s="2">
        <v>245</v>
      </c>
      <c r="G58" s="2">
        <v>7608</v>
      </c>
      <c r="H58" s="2">
        <v>18</v>
      </c>
      <c r="I58" s="2">
        <v>10</v>
      </c>
      <c r="J58" s="2"/>
    </row>
    <row r="59" spans="1:10" x14ac:dyDescent="0.45">
      <c r="A59" s="2"/>
      <c r="B59" s="2" t="s">
        <v>195</v>
      </c>
      <c r="C59" s="2" t="s">
        <v>18</v>
      </c>
      <c r="D59" s="8" t="s">
        <v>220</v>
      </c>
      <c r="E59" s="2" t="s">
        <v>76</v>
      </c>
      <c r="F59" s="8">
        <v>1.5</v>
      </c>
      <c r="G59" s="2">
        <v>39269049</v>
      </c>
      <c r="H59" s="2">
        <v>18</v>
      </c>
      <c r="I59" s="2">
        <v>76</v>
      </c>
      <c r="J59" s="2"/>
    </row>
    <row r="60" spans="1:10" x14ac:dyDescent="0.45">
      <c r="A60" s="2"/>
      <c r="B60" s="2" t="s">
        <v>195</v>
      </c>
      <c r="C60" s="2" t="s">
        <v>18</v>
      </c>
      <c r="D60" s="8" t="s">
        <v>221</v>
      </c>
      <c r="E60" s="2" t="s">
        <v>80</v>
      </c>
      <c r="F60" s="8">
        <v>1</v>
      </c>
      <c r="G60" s="2">
        <v>39269049</v>
      </c>
      <c r="H60" s="2">
        <v>18</v>
      </c>
      <c r="I60" s="2">
        <v>85</v>
      </c>
      <c r="J60" s="2"/>
    </row>
    <row r="61" spans="1:10" x14ac:dyDescent="0.45">
      <c r="A61" s="2"/>
      <c r="B61" s="2" t="s">
        <v>195</v>
      </c>
      <c r="C61" s="2" t="s">
        <v>18</v>
      </c>
      <c r="D61" s="8" t="s">
        <v>222</v>
      </c>
      <c r="E61" s="2" t="s">
        <v>81</v>
      </c>
      <c r="F61" s="2">
        <v>1.32</v>
      </c>
      <c r="G61" s="2">
        <v>96072000</v>
      </c>
      <c r="H61" s="2">
        <v>5</v>
      </c>
      <c r="I61" s="2">
        <v>36695</v>
      </c>
      <c r="J61" s="2"/>
    </row>
    <row r="62" spans="1:10" x14ac:dyDescent="0.45">
      <c r="A62" s="2"/>
      <c r="B62" s="2" t="s">
        <v>195</v>
      </c>
      <c r="C62" s="2" t="s">
        <v>18</v>
      </c>
      <c r="D62" s="8" t="s">
        <v>223</v>
      </c>
      <c r="E62" s="2" t="s">
        <v>92</v>
      </c>
      <c r="F62" s="2">
        <v>180</v>
      </c>
      <c r="G62" s="2">
        <v>42021250</v>
      </c>
      <c r="H62" s="2">
        <v>18</v>
      </c>
      <c r="I62" s="2">
        <v>10</v>
      </c>
      <c r="J62" s="2"/>
    </row>
    <row r="63" spans="1:10" x14ac:dyDescent="0.45">
      <c r="A63" s="2"/>
      <c r="B63" s="2" t="s">
        <v>195</v>
      </c>
      <c r="C63" s="2" t="s">
        <v>18</v>
      </c>
      <c r="D63" s="8" t="s">
        <v>224</v>
      </c>
      <c r="E63" s="2"/>
      <c r="F63" s="2">
        <v>2.82</v>
      </c>
      <c r="G63" s="2">
        <v>96072000</v>
      </c>
      <c r="H63" s="2">
        <v>5</v>
      </c>
      <c r="I63" s="2">
        <v>15805</v>
      </c>
      <c r="J63" s="2"/>
    </row>
    <row r="64" spans="1:10" x14ac:dyDescent="0.45">
      <c r="A64" s="2"/>
      <c r="B64" s="2" t="s">
        <v>195</v>
      </c>
      <c r="C64" s="2" t="s">
        <v>18</v>
      </c>
      <c r="D64" s="8" t="s">
        <v>225</v>
      </c>
      <c r="E64" s="2"/>
      <c r="F64" s="2">
        <v>0.65</v>
      </c>
      <c r="G64" s="2">
        <v>7318</v>
      </c>
      <c r="H64" s="2">
        <v>18</v>
      </c>
      <c r="I64" s="2">
        <v>-3851</v>
      </c>
      <c r="J64" s="2"/>
    </row>
    <row r="65" spans="1:10" x14ac:dyDescent="0.45">
      <c r="A65" s="2"/>
      <c r="B65" s="2" t="s">
        <v>195</v>
      </c>
      <c r="C65" s="2" t="s">
        <v>18</v>
      </c>
      <c r="D65" s="8" t="s">
        <v>226</v>
      </c>
      <c r="E65" s="2"/>
      <c r="F65" s="2">
        <v>0.5</v>
      </c>
      <c r="G65" s="2">
        <v>7318</v>
      </c>
      <c r="H65" s="2">
        <v>18</v>
      </c>
      <c r="I65" s="2">
        <v>800</v>
      </c>
      <c r="J65" s="2"/>
    </row>
    <row r="66" spans="1:10" x14ac:dyDescent="0.45">
      <c r="A66" s="2"/>
      <c r="B66" s="2" t="s">
        <v>195</v>
      </c>
      <c r="C66" s="2" t="s">
        <v>18</v>
      </c>
      <c r="D66" s="8" t="s">
        <v>227</v>
      </c>
      <c r="E66" s="2"/>
      <c r="F66" s="2">
        <v>138</v>
      </c>
      <c r="G66" s="2">
        <v>4202</v>
      </c>
      <c r="H66" s="2">
        <v>18</v>
      </c>
      <c r="I66" s="2">
        <v>10</v>
      </c>
      <c r="J66" s="2"/>
    </row>
    <row r="67" spans="1:10" x14ac:dyDescent="0.45">
      <c r="A67" s="2"/>
      <c r="B67" s="2" t="s">
        <v>195</v>
      </c>
      <c r="C67" s="2" t="s">
        <v>18</v>
      </c>
      <c r="D67" s="8" t="s">
        <v>228</v>
      </c>
      <c r="E67" s="2"/>
      <c r="F67" s="2">
        <v>3.75</v>
      </c>
      <c r="G67" s="2">
        <v>96072000</v>
      </c>
      <c r="H67" s="2">
        <v>5</v>
      </c>
      <c r="I67" s="2">
        <v>750</v>
      </c>
      <c r="J67" s="2"/>
    </row>
    <row r="68" spans="1:10" x14ac:dyDescent="0.45">
      <c r="A68" s="2"/>
      <c r="B68" s="2" t="s">
        <v>195</v>
      </c>
      <c r="C68" s="2" t="s">
        <v>18</v>
      </c>
      <c r="D68" s="8" t="s">
        <v>229</v>
      </c>
      <c r="E68" s="2"/>
      <c r="F68" s="2">
        <v>7.5</v>
      </c>
      <c r="G68" s="2">
        <v>96072000</v>
      </c>
      <c r="H68" s="2">
        <v>5</v>
      </c>
      <c r="I68" s="2">
        <v>2596</v>
      </c>
      <c r="J68" s="2"/>
    </row>
    <row r="69" spans="1:10" x14ac:dyDescent="0.45">
      <c r="A69" s="2"/>
      <c r="B69" s="2" t="s">
        <v>195</v>
      </c>
      <c r="C69" s="2" t="s">
        <v>18</v>
      </c>
      <c r="D69" s="8" t="s">
        <v>230</v>
      </c>
      <c r="E69" s="2"/>
      <c r="F69" s="2">
        <v>3.3</v>
      </c>
      <c r="G69" s="2">
        <v>96072000</v>
      </c>
      <c r="H69" s="2">
        <v>5</v>
      </c>
      <c r="I69" s="2">
        <v>0</v>
      </c>
      <c r="J69" s="2"/>
    </row>
    <row r="70" spans="1:10" x14ac:dyDescent="0.45">
      <c r="A70" s="2"/>
      <c r="B70" s="2" t="s">
        <v>195</v>
      </c>
      <c r="C70" s="2" t="s">
        <v>18</v>
      </c>
      <c r="D70" s="8" t="s">
        <v>231</v>
      </c>
      <c r="E70" s="2"/>
      <c r="F70" s="2">
        <v>3.5</v>
      </c>
      <c r="G70" s="2">
        <v>96072000</v>
      </c>
      <c r="H70" s="2">
        <v>5</v>
      </c>
      <c r="I70" s="2">
        <v>112460</v>
      </c>
      <c r="J70" s="2"/>
    </row>
    <row r="71" spans="1:10" x14ac:dyDescent="0.45">
      <c r="A71" s="2"/>
      <c r="B71" s="2" t="s">
        <v>195</v>
      </c>
      <c r="C71" s="2" t="s">
        <v>18</v>
      </c>
      <c r="D71" s="8" t="s">
        <v>232</v>
      </c>
      <c r="E71" s="2"/>
      <c r="F71" s="2">
        <v>9.6999999999999993</v>
      </c>
      <c r="G71" s="2">
        <v>7314</v>
      </c>
      <c r="H71" s="2">
        <v>18</v>
      </c>
      <c r="I71" s="2">
        <v>468</v>
      </c>
      <c r="J71" s="2"/>
    </row>
    <row r="72" spans="1:10" x14ac:dyDescent="0.45">
      <c r="A72" s="2"/>
      <c r="B72" s="2" t="s">
        <v>195</v>
      </c>
      <c r="C72" s="2" t="s">
        <v>18</v>
      </c>
      <c r="D72" s="8" t="s">
        <v>233</v>
      </c>
      <c r="E72" s="2"/>
      <c r="F72" s="2">
        <v>8</v>
      </c>
      <c r="G72" s="2">
        <v>8477</v>
      </c>
      <c r="H72" s="2">
        <v>18</v>
      </c>
      <c r="I72" s="2">
        <v>500</v>
      </c>
      <c r="J72" s="2"/>
    </row>
    <row r="73" spans="1:10" x14ac:dyDescent="0.45">
      <c r="A73" s="2"/>
      <c r="B73" s="2" t="s">
        <v>195</v>
      </c>
      <c r="C73" s="2" t="s">
        <v>18</v>
      </c>
      <c r="D73" s="8" t="s">
        <v>234</v>
      </c>
      <c r="E73" s="2"/>
      <c r="F73" s="2">
        <v>7.4</v>
      </c>
      <c r="G73" s="2">
        <v>96072000</v>
      </c>
      <c r="H73" s="2">
        <v>5</v>
      </c>
      <c r="I73" s="2">
        <v>800</v>
      </c>
      <c r="J73" s="2"/>
    </row>
    <row r="74" spans="1:10" x14ac:dyDescent="0.45">
      <c r="A74" s="2"/>
      <c r="B74" s="2" t="s">
        <v>195</v>
      </c>
      <c r="C74" s="2" t="s">
        <v>18</v>
      </c>
      <c r="D74" s="8" t="s">
        <v>235</v>
      </c>
      <c r="E74" s="2"/>
      <c r="F74" s="2">
        <v>6.75</v>
      </c>
      <c r="G74" s="2">
        <v>96072000</v>
      </c>
      <c r="H74" s="2">
        <v>5</v>
      </c>
      <c r="I74" s="2">
        <v>3100</v>
      </c>
      <c r="J74" s="2"/>
    </row>
    <row r="75" spans="1:10" x14ac:dyDescent="0.45">
      <c r="A75" s="2"/>
      <c r="B75" s="2" t="s">
        <v>195</v>
      </c>
      <c r="C75" s="2" t="s">
        <v>14</v>
      </c>
      <c r="D75" s="8" t="s">
        <v>236</v>
      </c>
      <c r="E75" s="2" t="s">
        <v>27</v>
      </c>
      <c r="F75" s="8">
        <v>240</v>
      </c>
      <c r="G75" s="2">
        <v>58063200</v>
      </c>
      <c r="H75" s="2">
        <v>5</v>
      </c>
      <c r="I75" s="2">
        <v>0</v>
      </c>
      <c r="J75" s="2"/>
    </row>
    <row r="76" spans="1:10" x14ac:dyDescent="0.45">
      <c r="A76" s="2"/>
      <c r="B76" s="2" t="s">
        <v>195</v>
      </c>
      <c r="C76" s="2" t="s">
        <v>14</v>
      </c>
      <c r="D76" s="8" t="s">
        <v>237</v>
      </c>
      <c r="E76" s="2" t="s">
        <v>28</v>
      </c>
      <c r="F76" s="8">
        <v>180</v>
      </c>
      <c r="G76" s="2">
        <v>58063200</v>
      </c>
      <c r="H76" s="2">
        <v>5</v>
      </c>
      <c r="I76" s="2">
        <v>0</v>
      </c>
      <c r="J76" s="2"/>
    </row>
    <row r="77" spans="1:10" x14ac:dyDescent="0.45">
      <c r="A77" s="2"/>
      <c r="B77" s="2" t="s">
        <v>195</v>
      </c>
      <c r="C77" s="2" t="s">
        <v>14</v>
      </c>
      <c r="D77" s="8" t="s">
        <v>238</v>
      </c>
      <c r="E77" s="2" t="s">
        <v>72</v>
      </c>
      <c r="F77" s="8">
        <v>3</v>
      </c>
      <c r="G77" s="2">
        <v>58063200</v>
      </c>
      <c r="H77" s="2">
        <v>5</v>
      </c>
      <c r="I77" s="2">
        <v>2</v>
      </c>
      <c r="J77" s="2"/>
    </row>
    <row r="78" spans="1:10" x14ac:dyDescent="0.45">
      <c r="A78" s="2"/>
      <c r="B78" s="2" t="s">
        <v>195</v>
      </c>
      <c r="C78" s="2" t="s">
        <v>14</v>
      </c>
      <c r="D78" s="8" t="s">
        <v>239</v>
      </c>
      <c r="E78" s="2" t="s">
        <v>178</v>
      </c>
      <c r="F78" s="2">
        <v>240</v>
      </c>
      <c r="G78" s="2">
        <v>58063200</v>
      </c>
      <c r="H78" s="2">
        <v>5</v>
      </c>
      <c r="I78" s="2">
        <v>1.8439999999999372</v>
      </c>
      <c r="J78" s="2"/>
    </row>
    <row r="79" spans="1:10" x14ac:dyDescent="0.45">
      <c r="A79" s="2"/>
      <c r="B79" s="2" t="s">
        <v>195</v>
      </c>
      <c r="C79" s="2" t="s">
        <v>14</v>
      </c>
      <c r="D79" s="8" t="s">
        <v>240</v>
      </c>
      <c r="E79" s="2" t="s">
        <v>179</v>
      </c>
      <c r="F79" s="2">
        <v>280</v>
      </c>
      <c r="G79" s="2">
        <v>58063200</v>
      </c>
      <c r="H79" s="2">
        <v>5</v>
      </c>
      <c r="I79" s="2">
        <v>158.52000000000001</v>
      </c>
      <c r="J79" s="2"/>
    </row>
    <row r="80" spans="1:10" x14ac:dyDescent="0.45">
      <c r="A80" s="2"/>
      <c r="B80" s="2" t="s">
        <v>195</v>
      </c>
      <c r="C80" s="2" t="s">
        <v>14</v>
      </c>
      <c r="D80" s="8" t="s">
        <v>241</v>
      </c>
      <c r="E80" s="2"/>
      <c r="F80" s="2">
        <v>90</v>
      </c>
      <c r="G80" s="2">
        <v>58063200</v>
      </c>
      <c r="H80" s="2">
        <v>5</v>
      </c>
      <c r="I80" s="2">
        <v>213.39800000000002</v>
      </c>
      <c r="J80" s="2"/>
    </row>
    <row r="81" spans="1:10" x14ac:dyDescent="0.45">
      <c r="A81" s="2"/>
      <c r="B81" s="2" t="s">
        <v>195</v>
      </c>
      <c r="C81" s="2" t="s">
        <v>14</v>
      </c>
      <c r="D81" s="8" t="s">
        <v>242</v>
      </c>
      <c r="E81" s="2"/>
      <c r="F81" s="8">
        <v>245</v>
      </c>
      <c r="G81" s="2">
        <v>58063200</v>
      </c>
      <c r="H81" s="2">
        <v>5</v>
      </c>
      <c r="I81" s="2">
        <v>-290.89999999999964</v>
      </c>
      <c r="J81" s="2"/>
    </row>
    <row r="82" spans="1:10" x14ac:dyDescent="0.45">
      <c r="A82" s="2"/>
      <c r="B82" s="2" t="s">
        <v>195</v>
      </c>
      <c r="C82" s="2" t="s">
        <v>14</v>
      </c>
      <c r="D82" s="8" t="s">
        <v>243</v>
      </c>
      <c r="E82" s="2"/>
      <c r="F82" s="2">
        <v>285</v>
      </c>
      <c r="G82" s="2">
        <v>55063200</v>
      </c>
      <c r="H82" s="2">
        <v>5</v>
      </c>
      <c r="I82" s="2">
        <v>-2.0000000000006679E-3</v>
      </c>
      <c r="J82" s="2"/>
    </row>
    <row r="83" spans="1:10" x14ac:dyDescent="0.45">
      <c r="A83" s="2"/>
      <c r="B83" s="2" t="s">
        <v>195</v>
      </c>
      <c r="C83" s="2" t="s">
        <v>14</v>
      </c>
      <c r="D83" s="8" t="s">
        <v>244</v>
      </c>
      <c r="E83" s="2"/>
      <c r="F83" s="2">
        <v>200</v>
      </c>
      <c r="G83" s="2">
        <v>58063200</v>
      </c>
      <c r="H83" s="2">
        <v>5</v>
      </c>
      <c r="I83" s="2">
        <v>36.795999999999992</v>
      </c>
      <c r="J83" s="2"/>
    </row>
    <row r="84" spans="1:10" x14ac:dyDescent="0.45">
      <c r="A84" s="2"/>
      <c r="B84" s="2" t="s">
        <v>195</v>
      </c>
      <c r="C84" s="2" t="s">
        <v>14</v>
      </c>
      <c r="D84" s="8" t="s">
        <v>245</v>
      </c>
      <c r="E84" s="2"/>
      <c r="F84" s="8">
        <v>4</v>
      </c>
      <c r="G84" s="2">
        <v>58063200</v>
      </c>
      <c r="H84" s="2">
        <v>5</v>
      </c>
      <c r="I84" s="2">
        <v>141</v>
      </c>
      <c r="J84" s="2"/>
    </row>
    <row r="85" spans="1:10" x14ac:dyDescent="0.45">
      <c r="A85" s="2"/>
      <c r="B85" s="2" t="s">
        <v>195</v>
      </c>
      <c r="C85" s="2" t="s">
        <v>14</v>
      </c>
      <c r="D85" s="8" t="s">
        <v>246</v>
      </c>
      <c r="E85" s="2"/>
      <c r="F85" s="8">
        <v>270</v>
      </c>
      <c r="G85" s="2">
        <v>58063200</v>
      </c>
      <c r="H85" s="2">
        <v>5</v>
      </c>
      <c r="I85" s="2">
        <v>0</v>
      </c>
      <c r="J85" s="2"/>
    </row>
    <row r="86" spans="1:10" x14ac:dyDescent="0.45">
      <c r="A86" s="2"/>
      <c r="B86" s="2" t="s">
        <v>195</v>
      </c>
      <c r="C86" s="2" t="s">
        <v>14</v>
      </c>
      <c r="D86" s="8" t="s">
        <v>247</v>
      </c>
      <c r="E86" s="2"/>
      <c r="F86" s="2">
        <v>240</v>
      </c>
      <c r="G86" s="2">
        <v>58063200</v>
      </c>
      <c r="H86" s="2">
        <v>5</v>
      </c>
      <c r="I86" s="2">
        <v>-747.6400000000001</v>
      </c>
      <c r="J86" s="2"/>
    </row>
    <row r="87" spans="1:10" x14ac:dyDescent="0.45">
      <c r="A87" s="2"/>
      <c r="B87" s="2" t="s">
        <v>195</v>
      </c>
      <c r="D87" s="8" t="s">
        <v>248</v>
      </c>
      <c r="E87" s="2"/>
      <c r="F87" s="8">
        <v>2</v>
      </c>
      <c r="G87" s="2">
        <v>7318</v>
      </c>
      <c r="H87" s="2">
        <v>18</v>
      </c>
      <c r="I87" s="2">
        <v>2800</v>
      </c>
      <c r="J87" s="2"/>
    </row>
    <row r="88" spans="1:10" x14ac:dyDescent="0.45">
      <c r="A88" s="2"/>
      <c r="B88" s="2" t="s">
        <v>195</v>
      </c>
      <c r="D88" s="8" t="s">
        <v>249</v>
      </c>
      <c r="E88" s="2"/>
      <c r="F88" s="2">
        <v>1.5</v>
      </c>
      <c r="G88" s="2">
        <v>3926</v>
      </c>
      <c r="H88" s="2">
        <v>18</v>
      </c>
      <c r="I88" s="2">
        <v>9</v>
      </c>
      <c r="J88" s="2"/>
    </row>
    <row r="89" spans="1:10" x14ac:dyDescent="0.45">
      <c r="A89" s="2"/>
      <c r="B89" s="2" t="s">
        <v>195</v>
      </c>
      <c r="D89" s="8" t="s">
        <v>250</v>
      </c>
      <c r="E89" s="2"/>
      <c r="F89" s="2">
        <v>4.8</v>
      </c>
      <c r="G89" s="2">
        <v>39269049</v>
      </c>
      <c r="H89" s="2">
        <v>18</v>
      </c>
      <c r="I89" s="2">
        <v>1300</v>
      </c>
      <c r="J89" s="2"/>
    </row>
    <row r="90" spans="1:10" x14ac:dyDescent="0.45">
      <c r="A90" s="2"/>
      <c r="B90" s="2" t="s">
        <v>195</v>
      </c>
      <c r="D90" s="8" t="s">
        <v>251</v>
      </c>
      <c r="E90" s="2"/>
      <c r="F90" s="2">
        <v>1.32</v>
      </c>
      <c r="G90" s="2">
        <v>96072000</v>
      </c>
      <c r="H90" s="2">
        <v>5</v>
      </c>
      <c r="I90" s="2">
        <v>230500</v>
      </c>
      <c r="J90" s="2"/>
    </row>
    <row r="91" spans="1:10" x14ac:dyDescent="0.45">
      <c r="A91" s="2"/>
      <c r="B91" s="2" t="s">
        <v>195</v>
      </c>
      <c r="D91" s="8" t="s">
        <v>252</v>
      </c>
      <c r="E91" s="2" t="s">
        <v>36</v>
      </c>
      <c r="F91" s="8">
        <v>4</v>
      </c>
      <c r="G91" s="2">
        <v>39269049</v>
      </c>
      <c r="H91" s="2">
        <v>18</v>
      </c>
      <c r="I91" s="2">
        <v>240</v>
      </c>
      <c r="J91" s="2"/>
    </row>
    <row r="92" spans="1:10" x14ac:dyDescent="0.45">
      <c r="A92" s="2"/>
      <c r="B92" s="2" t="s">
        <v>195</v>
      </c>
      <c r="D92" s="8" t="s">
        <v>253</v>
      </c>
      <c r="E92" s="2" t="s">
        <v>42</v>
      </c>
      <c r="F92" s="8">
        <v>1</v>
      </c>
      <c r="G92" s="2">
        <v>39269049</v>
      </c>
      <c r="H92" s="2">
        <v>18</v>
      </c>
      <c r="I92" s="2">
        <v>194</v>
      </c>
      <c r="J92" s="2"/>
    </row>
    <row r="93" spans="1:10" x14ac:dyDescent="0.45">
      <c r="A93" s="2"/>
      <c r="B93" s="2" t="s">
        <v>195</v>
      </c>
      <c r="D93" s="8" t="s">
        <v>254</v>
      </c>
      <c r="E93" s="2" t="s">
        <v>48</v>
      </c>
      <c r="F93" s="8">
        <v>3</v>
      </c>
      <c r="G93" s="2">
        <v>39269049</v>
      </c>
      <c r="H93" s="2">
        <v>18</v>
      </c>
      <c r="I93" s="2">
        <v>118</v>
      </c>
      <c r="J93" s="2"/>
    </row>
    <row r="94" spans="1:10" x14ac:dyDescent="0.45">
      <c r="A94" s="2"/>
      <c r="B94" s="2" t="s">
        <v>195</v>
      </c>
      <c r="D94" s="8" t="s">
        <v>255</v>
      </c>
      <c r="E94" s="2" t="s">
        <v>49</v>
      </c>
      <c r="F94" s="8">
        <v>2</v>
      </c>
      <c r="G94" s="2">
        <v>39269049</v>
      </c>
      <c r="H94" s="2">
        <v>18</v>
      </c>
      <c r="I94" s="2">
        <v>-18</v>
      </c>
      <c r="J94" s="2"/>
    </row>
    <row r="95" spans="1:10" x14ac:dyDescent="0.45">
      <c r="A95" s="2"/>
      <c r="B95" s="2" t="s">
        <v>195</v>
      </c>
      <c r="D95" s="8" t="s">
        <v>256</v>
      </c>
      <c r="E95" s="2" t="s">
        <v>58</v>
      </c>
      <c r="F95" s="2">
        <v>1.6</v>
      </c>
      <c r="G95" s="2">
        <v>3926</v>
      </c>
      <c r="H95" s="2">
        <v>18</v>
      </c>
      <c r="I95" s="2">
        <v>1000</v>
      </c>
      <c r="J95" s="2"/>
    </row>
    <row r="96" spans="1:10" x14ac:dyDescent="0.45">
      <c r="A96" s="2"/>
      <c r="B96" s="2" t="s">
        <v>195</v>
      </c>
      <c r="D96" s="8" t="s">
        <v>257</v>
      </c>
      <c r="E96" s="2" t="s">
        <v>66</v>
      </c>
      <c r="F96" s="8">
        <v>1</v>
      </c>
      <c r="G96" s="2">
        <v>39269049</v>
      </c>
      <c r="H96" s="2">
        <v>18</v>
      </c>
      <c r="I96" s="2">
        <v>557</v>
      </c>
      <c r="J96" s="2"/>
    </row>
    <row r="97" spans="1:10" x14ac:dyDescent="0.45">
      <c r="A97" s="2"/>
      <c r="B97" s="2" t="s">
        <v>195</v>
      </c>
      <c r="D97" s="8" t="s">
        <v>258</v>
      </c>
      <c r="E97" s="2" t="s">
        <v>67</v>
      </c>
      <c r="F97" s="8">
        <v>1</v>
      </c>
      <c r="G97" s="2">
        <v>39269049</v>
      </c>
      <c r="H97" s="2">
        <v>18</v>
      </c>
      <c r="I97" s="2">
        <v>866</v>
      </c>
      <c r="J97" s="2"/>
    </row>
    <row r="98" spans="1:10" x14ac:dyDescent="0.45">
      <c r="A98" s="2"/>
      <c r="B98" s="2" t="s">
        <v>195</v>
      </c>
      <c r="D98" s="8" t="s">
        <v>259</v>
      </c>
      <c r="E98" s="2" t="s">
        <v>68</v>
      </c>
      <c r="F98" s="8">
        <v>1</v>
      </c>
      <c r="G98" s="2">
        <v>39269049</v>
      </c>
      <c r="H98" s="2">
        <v>18</v>
      </c>
      <c r="I98" s="2">
        <v>105</v>
      </c>
      <c r="J98" s="2"/>
    </row>
    <row r="99" spans="1:10" x14ac:dyDescent="0.45">
      <c r="A99" s="2"/>
      <c r="B99" s="2" t="s">
        <v>195</v>
      </c>
      <c r="D99" s="8" t="s">
        <v>260</v>
      </c>
      <c r="E99" s="2" t="s">
        <v>70</v>
      </c>
      <c r="F99" s="8">
        <v>1</v>
      </c>
      <c r="G99" s="2">
        <v>39269049</v>
      </c>
      <c r="H99" s="2">
        <v>18</v>
      </c>
      <c r="I99" s="2">
        <v>140</v>
      </c>
      <c r="J99" s="2"/>
    </row>
    <row r="100" spans="1:10" x14ac:dyDescent="0.45">
      <c r="A100" s="2"/>
      <c r="B100" s="2" t="s">
        <v>195</v>
      </c>
      <c r="D100" s="8" t="s">
        <v>261</v>
      </c>
      <c r="E100" s="2" t="s">
        <v>89</v>
      </c>
      <c r="F100" s="2">
        <v>167</v>
      </c>
      <c r="G100" s="2">
        <v>3921</v>
      </c>
      <c r="H100" s="2">
        <v>18</v>
      </c>
      <c r="I100" s="2">
        <v>376.3</v>
      </c>
      <c r="J100" s="2"/>
    </row>
    <row r="101" spans="1:10" x14ac:dyDescent="0.45">
      <c r="A101" s="2"/>
      <c r="B101" s="2" t="s">
        <v>195</v>
      </c>
      <c r="D101" s="8" t="s">
        <v>262</v>
      </c>
      <c r="E101" s="2" t="s">
        <v>90</v>
      </c>
      <c r="F101" s="2">
        <v>80</v>
      </c>
      <c r="G101" s="2">
        <v>3920</v>
      </c>
      <c r="H101" s="2">
        <v>18</v>
      </c>
      <c r="I101" s="2">
        <v>100</v>
      </c>
      <c r="J101" s="2"/>
    </row>
    <row r="102" spans="1:10" x14ac:dyDescent="0.45">
      <c r="A102" s="2"/>
      <c r="B102" s="2" t="s">
        <v>195</v>
      </c>
      <c r="D102" s="8" t="s">
        <v>263</v>
      </c>
      <c r="E102" s="2" t="s">
        <v>95</v>
      </c>
      <c r="F102" s="2">
        <v>5.4</v>
      </c>
      <c r="G102" s="2">
        <v>3926</v>
      </c>
      <c r="H102" s="2">
        <v>18</v>
      </c>
      <c r="I102" s="2">
        <v>115</v>
      </c>
      <c r="J102" s="2"/>
    </row>
    <row r="103" spans="1:10" x14ac:dyDescent="0.45">
      <c r="A103" s="2"/>
      <c r="B103" s="2" t="s">
        <v>195</v>
      </c>
      <c r="D103" s="8" t="s">
        <v>264</v>
      </c>
      <c r="E103" s="2" t="s">
        <v>97</v>
      </c>
      <c r="F103" s="8">
        <v>3</v>
      </c>
      <c r="G103" s="2">
        <v>39269049</v>
      </c>
      <c r="H103" s="2">
        <v>18</v>
      </c>
      <c r="I103" s="2">
        <v>163</v>
      </c>
      <c r="J103" s="2"/>
    </row>
    <row r="104" spans="1:10" x14ac:dyDescent="0.45">
      <c r="A104" s="2"/>
      <c r="B104" s="2" t="s">
        <v>195</v>
      </c>
      <c r="D104" s="8" t="s">
        <v>265</v>
      </c>
      <c r="E104" s="2" t="s">
        <v>155</v>
      </c>
      <c r="F104" s="8">
        <v>2.5</v>
      </c>
      <c r="G104" s="2">
        <v>39269049</v>
      </c>
      <c r="H104" s="2">
        <v>18</v>
      </c>
      <c r="I104" s="2">
        <v>1300</v>
      </c>
      <c r="J104" s="2"/>
    </row>
    <row r="105" spans="1:10" x14ac:dyDescent="0.45">
      <c r="A105" s="2"/>
      <c r="B105" s="2" t="s">
        <v>195</v>
      </c>
      <c r="D105" s="8" t="s">
        <v>266</v>
      </c>
      <c r="E105" s="2" t="s">
        <v>166</v>
      </c>
      <c r="F105" s="8">
        <v>1</v>
      </c>
      <c r="G105" s="2">
        <v>39269049</v>
      </c>
      <c r="H105" s="2">
        <v>18</v>
      </c>
      <c r="I105" s="2">
        <v>616</v>
      </c>
      <c r="J105" s="2"/>
    </row>
    <row r="106" spans="1:10" x14ac:dyDescent="0.45">
      <c r="A106" s="2"/>
      <c r="B106" s="2" t="s">
        <v>195</v>
      </c>
      <c r="D106" s="8" t="s">
        <v>267</v>
      </c>
      <c r="E106" s="2" t="s">
        <v>167</v>
      </c>
      <c r="F106" s="8">
        <v>1</v>
      </c>
      <c r="G106" s="2">
        <v>39269049</v>
      </c>
      <c r="H106" s="2">
        <v>18</v>
      </c>
      <c r="I106" s="2">
        <v>35</v>
      </c>
      <c r="J106" s="2"/>
    </row>
    <row r="107" spans="1:10" x14ac:dyDescent="0.45">
      <c r="A107" s="2"/>
      <c r="B107" s="2" t="s">
        <v>195</v>
      </c>
      <c r="D107" s="8" t="s">
        <v>268</v>
      </c>
      <c r="E107" s="2" t="s">
        <v>168</v>
      </c>
      <c r="F107" s="8">
        <v>1</v>
      </c>
      <c r="G107" s="2">
        <v>39269049</v>
      </c>
      <c r="H107" s="2">
        <v>18</v>
      </c>
      <c r="I107" s="2">
        <v>-1894</v>
      </c>
      <c r="J107" s="2"/>
    </row>
    <row r="108" spans="1:10" x14ac:dyDescent="0.45">
      <c r="A108" s="2"/>
      <c r="B108" s="2" t="s">
        <v>195</v>
      </c>
      <c r="D108" s="8" t="s">
        <v>269</v>
      </c>
      <c r="E108" s="2" t="s">
        <v>169</v>
      </c>
      <c r="F108" s="2">
        <v>1.36</v>
      </c>
      <c r="G108" s="2">
        <v>39269049</v>
      </c>
      <c r="H108" s="2">
        <v>18</v>
      </c>
      <c r="I108" s="2">
        <v>32700</v>
      </c>
      <c r="J108" s="2"/>
    </row>
    <row r="109" spans="1:10" x14ac:dyDescent="0.45">
      <c r="A109" s="2"/>
      <c r="B109" s="2" t="s">
        <v>195</v>
      </c>
      <c r="D109" s="8" t="s">
        <v>270</v>
      </c>
      <c r="E109" s="2" t="s">
        <v>173</v>
      </c>
      <c r="F109" s="8">
        <v>1</v>
      </c>
      <c r="G109" s="2">
        <v>39269049</v>
      </c>
      <c r="H109" s="2">
        <v>18</v>
      </c>
      <c r="I109" s="2">
        <v>100</v>
      </c>
      <c r="J109" s="2"/>
    </row>
    <row r="110" spans="1:10" x14ac:dyDescent="0.45">
      <c r="A110" s="2"/>
      <c r="B110" s="2" t="s">
        <v>195</v>
      </c>
      <c r="D110" s="8" t="s">
        <v>271</v>
      </c>
      <c r="E110" s="2" t="s">
        <v>174</v>
      </c>
      <c r="F110" s="8">
        <v>1</v>
      </c>
      <c r="G110" s="2">
        <v>39269049</v>
      </c>
      <c r="H110" s="2">
        <v>18</v>
      </c>
      <c r="I110" s="2">
        <v>260</v>
      </c>
      <c r="J110" s="2"/>
    </row>
    <row r="111" spans="1:10" x14ac:dyDescent="0.45">
      <c r="A111" s="2"/>
      <c r="B111" s="2" t="s">
        <v>195</v>
      </c>
      <c r="D111" s="8" t="s">
        <v>272</v>
      </c>
      <c r="E111" s="2"/>
      <c r="F111" s="2">
        <v>4.5</v>
      </c>
      <c r="G111" s="2">
        <v>392690</v>
      </c>
      <c r="H111" s="2">
        <v>18</v>
      </c>
      <c r="I111" s="2">
        <v>5300</v>
      </c>
      <c r="J111" s="2"/>
    </row>
    <row r="112" spans="1:10" x14ac:dyDescent="0.45">
      <c r="A112" s="2"/>
      <c r="B112" s="2" t="s">
        <v>195</v>
      </c>
      <c r="D112" s="8" t="s">
        <v>273</v>
      </c>
      <c r="E112" s="2"/>
      <c r="F112" s="2">
        <v>41</v>
      </c>
      <c r="G112" s="2">
        <v>39206190</v>
      </c>
      <c r="H112" s="2">
        <v>18</v>
      </c>
      <c r="I112" s="2">
        <v>401.45</v>
      </c>
      <c r="J112" s="2"/>
    </row>
    <row r="113" spans="1:10" x14ac:dyDescent="0.45">
      <c r="A113" s="2"/>
      <c r="B113" s="2" t="s">
        <v>195</v>
      </c>
      <c r="D113" s="8" t="s">
        <v>274</v>
      </c>
      <c r="E113" s="2"/>
      <c r="F113" s="2">
        <v>1.1499999999999999</v>
      </c>
      <c r="G113" s="2">
        <v>39269049</v>
      </c>
      <c r="H113" s="2">
        <v>18</v>
      </c>
      <c r="I113" s="2">
        <v>3031</v>
      </c>
      <c r="J113" s="2"/>
    </row>
    <row r="114" spans="1:10" x14ac:dyDescent="0.45">
      <c r="A114" s="2"/>
      <c r="B114" s="2" t="s">
        <v>195</v>
      </c>
      <c r="D114" s="8" t="s">
        <v>275</v>
      </c>
      <c r="E114" s="2"/>
      <c r="F114" s="8">
        <v>1</v>
      </c>
      <c r="G114" s="2">
        <v>39269049</v>
      </c>
      <c r="H114" s="2">
        <v>18</v>
      </c>
      <c r="I114" s="2">
        <v>230</v>
      </c>
      <c r="J114" s="2"/>
    </row>
    <row r="115" spans="1:10" x14ac:dyDescent="0.45">
      <c r="A115" s="2"/>
      <c r="B115" s="2" t="s">
        <v>195</v>
      </c>
      <c r="D115" s="8" t="s">
        <v>276</v>
      </c>
      <c r="E115" s="2"/>
      <c r="F115" s="8">
        <v>1</v>
      </c>
      <c r="G115" s="2">
        <v>39269049</v>
      </c>
      <c r="H115" s="2">
        <v>18</v>
      </c>
      <c r="I115" s="2">
        <v>617</v>
      </c>
      <c r="J115" s="2"/>
    </row>
    <row r="116" spans="1:10" x14ac:dyDescent="0.45">
      <c r="A116" s="2"/>
      <c r="B116" s="2" t="s">
        <v>195</v>
      </c>
      <c r="D116" s="8" t="s">
        <v>277</v>
      </c>
      <c r="E116" s="2"/>
      <c r="F116" s="8"/>
      <c r="G116" s="2">
        <v>39269049</v>
      </c>
      <c r="H116" s="2">
        <v>18</v>
      </c>
      <c r="I116" s="2">
        <v>75</v>
      </c>
      <c r="J116" s="2"/>
    </row>
    <row r="117" spans="1:10" x14ac:dyDescent="0.45">
      <c r="A117" s="2"/>
      <c r="B117" s="2" t="s">
        <v>195</v>
      </c>
      <c r="D117" s="8" t="s">
        <v>278</v>
      </c>
      <c r="E117" s="2"/>
      <c r="F117" s="2">
        <v>1.8</v>
      </c>
      <c r="G117" s="2">
        <v>39269049</v>
      </c>
      <c r="H117" s="2">
        <v>18</v>
      </c>
      <c r="I117" s="2">
        <v>11445</v>
      </c>
      <c r="J117" s="2"/>
    </row>
    <row r="118" spans="1:10" x14ac:dyDescent="0.45">
      <c r="A118" s="2"/>
      <c r="B118" s="2" t="s">
        <v>195</v>
      </c>
      <c r="D118" s="8" t="s">
        <v>279</v>
      </c>
      <c r="E118" s="2"/>
      <c r="F118" s="2">
        <v>1.5</v>
      </c>
      <c r="G118" s="2">
        <v>39269049</v>
      </c>
      <c r="H118" s="2">
        <v>18</v>
      </c>
      <c r="I118" s="2">
        <v>360</v>
      </c>
      <c r="J118" s="2"/>
    </row>
    <row r="119" spans="1:10" x14ac:dyDescent="0.45">
      <c r="A119" s="2"/>
      <c r="B119" s="2" t="s">
        <v>195</v>
      </c>
      <c r="D119" s="8" t="s">
        <v>280</v>
      </c>
      <c r="E119" s="2"/>
      <c r="F119" s="8">
        <v>4</v>
      </c>
      <c r="G119" s="2">
        <v>39269049</v>
      </c>
      <c r="H119" s="2">
        <v>18</v>
      </c>
      <c r="I119" s="2">
        <v>340</v>
      </c>
      <c r="J119" s="2"/>
    </row>
    <row r="120" spans="1:10" x14ac:dyDescent="0.45">
      <c r="A120" s="2"/>
      <c r="B120" s="2" t="s">
        <v>195</v>
      </c>
      <c r="D120" s="8" t="s">
        <v>281</v>
      </c>
      <c r="E120" s="2"/>
      <c r="F120" s="8">
        <v>1</v>
      </c>
      <c r="G120" s="2">
        <v>39269049</v>
      </c>
      <c r="H120" s="2">
        <v>18</v>
      </c>
      <c r="I120" s="2">
        <v>100</v>
      </c>
      <c r="J120" s="2"/>
    </row>
    <row r="121" spans="1:10" x14ac:dyDescent="0.45">
      <c r="A121" s="2"/>
      <c r="B121" s="2" t="s">
        <v>195</v>
      </c>
      <c r="D121" s="8" t="s">
        <v>282</v>
      </c>
      <c r="E121" s="2"/>
      <c r="F121" s="8">
        <v>1</v>
      </c>
      <c r="G121" s="2">
        <v>39269049</v>
      </c>
      <c r="H121" s="2">
        <v>18</v>
      </c>
      <c r="I121" s="2">
        <v>224</v>
      </c>
      <c r="J121" s="2"/>
    </row>
    <row r="122" spans="1:10" x14ac:dyDescent="0.45">
      <c r="A122" s="2"/>
      <c r="B122" s="2" t="s">
        <v>195</v>
      </c>
      <c r="D122" s="8" t="s">
        <v>283</v>
      </c>
      <c r="E122" s="2"/>
      <c r="F122" s="8">
        <v>2</v>
      </c>
      <c r="G122" s="2">
        <v>39269049</v>
      </c>
      <c r="H122" s="2">
        <v>18</v>
      </c>
      <c r="I122" s="2">
        <v>-2050</v>
      </c>
      <c r="J122" s="2"/>
    </row>
    <row r="123" spans="1:10" x14ac:dyDescent="0.45">
      <c r="A123" s="2"/>
      <c r="B123" s="2" t="s">
        <v>195</v>
      </c>
      <c r="D123" s="8" t="s">
        <v>284</v>
      </c>
      <c r="E123" s="2"/>
      <c r="F123" s="8">
        <v>2</v>
      </c>
      <c r="G123" s="2">
        <v>39269049</v>
      </c>
      <c r="H123" s="2">
        <v>18</v>
      </c>
      <c r="I123" s="2">
        <v>507</v>
      </c>
      <c r="J123" s="2"/>
    </row>
    <row r="124" spans="1:10" x14ac:dyDescent="0.45">
      <c r="A124" s="2"/>
      <c r="B124" s="2" t="s">
        <v>195</v>
      </c>
      <c r="D124" s="8" t="s">
        <v>285</v>
      </c>
      <c r="E124" s="2"/>
      <c r="F124" s="2">
        <v>1.3</v>
      </c>
      <c r="G124" s="2">
        <v>39269049</v>
      </c>
      <c r="H124" s="2">
        <v>18</v>
      </c>
      <c r="I124" s="2">
        <v>701</v>
      </c>
      <c r="J124" s="2"/>
    </row>
    <row r="125" spans="1:10" x14ac:dyDescent="0.45">
      <c r="A125" s="2"/>
      <c r="B125" s="2" t="s">
        <v>195</v>
      </c>
      <c r="D125" s="8" t="s">
        <v>286</v>
      </c>
      <c r="E125" s="2"/>
      <c r="F125" s="8">
        <v>2</v>
      </c>
      <c r="G125" s="2">
        <v>39269049</v>
      </c>
      <c r="H125" s="2">
        <v>18</v>
      </c>
      <c r="I125" s="2">
        <v>60</v>
      </c>
      <c r="J125" s="2"/>
    </row>
    <row r="126" spans="1:10" x14ac:dyDescent="0.45">
      <c r="A126" s="2"/>
      <c r="B126" s="2" t="s">
        <v>195</v>
      </c>
      <c r="D126" s="8" t="s">
        <v>287</v>
      </c>
      <c r="E126" s="2"/>
      <c r="F126" s="8">
        <v>1.5</v>
      </c>
      <c r="G126" s="2">
        <v>39269049</v>
      </c>
      <c r="H126" s="2">
        <v>18</v>
      </c>
      <c r="I126" s="2">
        <v>520</v>
      </c>
      <c r="J126" s="2"/>
    </row>
    <row r="127" spans="1:10" x14ac:dyDescent="0.45">
      <c r="A127" s="2"/>
      <c r="B127" s="2" t="s">
        <v>195</v>
      </c>
      <c r="D127" s="8" t="s">
        <v>288</v>
      </c>
      <c r="E127" s="2"/>
      <c r="F127" s="8">
        <v>3</v>
      </c>
      <c r="G127" s="2">
        <v>39269049</v>
      </c>
      <c r="H127" s="2">
        <v>18</v>
      </c>
      <c r="I127" s="2">
        <v>80</v>
      </c>
      <c r="J127" s="2"/>
    </row>
    <row r="128" spans="1:10" x14ac:dyDescent="0.45">
      <c r="A128" s="2"/>
      <c r="B128" s="2" t="s">
        <v>195</v>
      </c>
      <c r="D128" s="8" t="s">
        <v>289</v>
      </c>
      <c r="E128" s="2"/>
      <c r="F128" s="2">
        <v>4.4000000000000004</v>
      </c>
      <c r="G128" s="2">
        <v>39269049</v>
      </c>
      <c r="H128" s="2">
        <v>18</v>
      </c>
      <c r="I128" s="2">
        <v>14912</v>
      </c>
      <c r="J128" s="2"/>
    </row>
    <row r="129" spans="1:10" x14ac:dyDescent="0.45">
      <c r="A129" s="2"/>
      <c r="B129" s="2" t="s">
        <v>195</v>
      </c>
      <c r="D129" s="8" t="s">
        <v>290</v>
      </c>
      <c r="E129" s="2"/>
      <c r="F129" s="2">
        <v>3.45</v>
      </c>
      <c r="G129" s="2">
        <v>39269049</v>
      </c>
      <c r="H129" s="2">
        <v>18</v>
      </c>
      <c r="I129" s="2">
        <v>41000</v>
      </c>
      <c r="J129" s="2"/>
    </row>
    <row r="130" spans="1:10" x14ac:dyDescent="0.45">
      <c r="A130" s="2"/>
      <c r="B130" s="2" t="s">
        <v>195</v>
      </c>
      <c r="D130" s="8" t="s">
        <v>291</v>
      </c>
      <c r="E130" s="2"/>
      <c r="F130" s="2">
        <v>6.9</v>
      </c>
      <c r="G130" s="2">
        <v>39269049</v>
      </c>
      <c r="H130" s="2">
        <v>18</v>
      </c>
      <c r="I130" s="2">
        <v>1228</v>
      </c>
      <c r="J130" s="2"/>
    </row>
    <row r="131" spans="1:10" x14ac:dyDescent="0.45">
      <c r="A131" s="2"/>
      <c r="B131" s="2" t="s">
        <v>195</v>
      </c>
      <c r="D131" s="8" t="s">
        <v>292</v>
      </c>
      <c r="E131" s="2"/>
      <c r="F131" s="8">
        <v>5</v>
      </c>
      <c r="G131" s="2">
        <v>39269049</v>
      </c>
      <c r="H131" s="2">
        <v>18</v>
      </c>
      <c r="I131" s="2">
        <v>8</v>
      </c>
      <c r="J131" s="2"/>
    </row>
    <row r="132" spans="1:10" x14ac:dyDescent="0.45">
      <c r="A132" s="2"/>
      <c r="B132" s="2" t="s">
        <v>195</v>
      </c>
      <c r="D132" s="8" t="s">
        <v>293</v>
      </c>
      <c r="E132" s="2"/>
      <c r="F132" s="8">
        <v>3</v>
      </c>
      <c r="G132" s="2">
        <v>39269049</v>
      </c>
      <c r="H132" s="2">
        <v>18</v>
      </c>
      <c r="I132" s="2">
        <v>110</v>
      </c>
      <c r="J132" s="2"/>
    </row>
    <row r="133" spans="1:10" x14ac:dyDescent="0.45">
      <c r="A133" s="2"/>
      <c r="B133" s="2" t="s">
        <v>195</v>
      </c>
      <c r="D133" s="8" t="s">
        <v>294</v>
      </c>
      <c r="E133" s="2"/>
      <c r="F133" s="8">
        <v>3</v>
      </c>
      <c r="G133" s="2">
        <v>39269049</v>
      </c>
      <c r="H133" s="2">
        <v>18</v>
      </c>
      <c r="I133" s="2">
        <v>37</v>
      </c>
      <c r="J133" s="2"/>
    </row>
    <row r="134" spans="1:10" x14ac:dyDescent="0.45">
      <c r="A134" s="2"/>
      <c r="B134" s="2" t="s">
        <v>195</v>
      </c>
      <c r="D134" s="8" t="s">
        <v>295</v>
      </c>
      <c r="E134" s="2"/>
      <c r="F134" s="8">
        <v>3</v>
      </c>
      <c r="G134" s="2">
        <v>39269049</v>
      </c>
      <c r="H134" s="2">
        <v>18</v>
      </c>
      <c r="I134" s="2">
        <v>30</v>
      </c>
      <c r="J134" s="2"/>
    </row>
    <row r="135" spans="1:10" x14ac:dyDescent="0.45">
      <c r="A135" s="2"/>
      <c r="B135" s="2" t="s">
        <v>195</v>
      </c>
      <c r="D135" s="8" t="s">
        <v>296</v>
      </c>
      <c r="E135" s="2"/>
      <c r="F135" s="2">
        <v>1.5</v>
      </c>
      <c r="G135" s="2">
        <v>39269049</v>
      </c>
      <c r="H135" s="2">
        <v>18</v>
      </c>
      <c r="I135" s="2">
        <v>933</v>
      </c>
      <c r="J135" s="2"/>
    </row>
    <row r="136" spans="1:10" x14ac:dyDescent="0.45">
      <c r="A136" s="2"/>
      <c r="B136" s="2" t="s">
        <v>195</v>
      </c>
      <c r="D136" s="8" t="s">
        <v>297</v>
      </c>
      <c r="E136" s="2"/>
      <c r="F136" s="8">
        <v>20</v>
      </c>
      <c r="G136" s="2">
        <v>39269049</v>
      </c>
      <c r="H136" s="2">
        <v>18</v>
      </c>
      <c r="I136" s="2">
        <v>35</v>
      </c>
      <c r="J136" s="2"/>
    </row>
    <row r="137" spans="1:10" x14ac:dyDescent="0.45">
      <c r="A137" s="2"/>
      <c r="B137" s="2" t="s">
        <v>195</v>
      </c>
      <c r="D137" s="8" t="s">
        <v>298</v>
      </c>
      <c r="E137" s="2"/>
      <c r="F137" s="8">
        <v>20</v>
      </c>
      <c r="G137" s="2">
        <v>8544</v>
      </c>
      <c r="H137" s="2">
        <v>18</v>
      </c>
      <c r="I137" s="2">
        <v>20</v>
      </c>
      <c r="J137" s="2"/>
    </row>
    <row r="138" spans="1:10" x14ac:dyDescent="0.45">
      <c r="A138" s="2"/>
      <c r="B138" s="2" t="s">
        <v>195</v>
      </c>
      <c r="C138" s="8" t="s">
        <v>22</v>
      </c>
      <c r="D138" s="8" t="s">
        <v>70</v>
      </c>
      <c r="E138" s="2" t="s">
        <v>171</v>
      </c>
      <c r="F138" s="8">
        <v>200</v>
      </c>
      <c r="G138" s="2">
        <v>39172110</v>
      </c>
      <c r="H138" s="2">
        <v>18</v>
      </c>
      <c r="I138" s="2">
        <v>175.53299999999999</v>
      </c>
      <c r="J138" s="2"/>
    </row>
    <row r="139" spans="1:10" x14ac:dyDescent="0.45">
      <c r="A139" s="2"/>
      <c r="B139" s="2" t="s">
        <v>195</v>
      </c>
      <c r="C139" s="8" t="s">
        <v>22</v>
      </c>
      <c r="D139" s="8" t="s">
        <v>75</v>
      </c>
      <c r="E139" s="2"/>
      <c r="F139" s="2">
        <v>11.5</v>
      </c>
      <c r="G139" s="2">
        <v>39201019</v>
      </c>
      <c r="H139" s="2">
        <v>18</v>
      </c>
      <c r="I139" s="2">
        <v>2250</v>
      </c>
      <c r="J139" s="2"/>
    </row>
    <row r="140" spans="1:10" x14ac:dyDescent="0.45">
      <c r="A140" s="2"/>
      <c r="B140" s="2" t="s">
        <v>195</v>
      </c>
      <c r="C140" s="8" t="s">
        <v>22</v>
      </c>
      <c r="D140" s="8" t="s">
        <v>77</v>
      </c>
      <c r="E140" s="2"/>
      <c r="F140" s="2">
        <v>3.9</v>
      </c>
      <c r="G140" s="2">
        <v>39232100</v>
      </c>
      <c r="H140" s="2">
        <v>18</v>
      </c>
      <c r="I140" s="2">
        <v>22000</v>
      </c>
      <c r="J140" s="2"/>
    </row>
    <row r="141" spans="1:10" x14ac:dyDescent="0.45">
      <c r="A141" s="2"/>
      <c r="B141" s="2" t="s">
        <v>195</v>
      </c>
      <c r="C141" s="8" t="s">
        <v>22</v>
      </c>
      <c r="D141" s="8" t="s">
        <v>88</v>
      </c>
      <c r="E141" s="2"/>
      <c r="F141" s="2">
        <v>135</v>
      </c>
      <c r="G141" s="2">
        <v>39202020</v>
      </c>
      <c r="H141" s="2">
        <v>18</v>
      </c>
      <c r="I141" s="2">
        <v>10</v>
      </c>
      <c r="J141" s="2"/>
    </row>
    <row r="142" spans="1:10" x14ac:dyDescent="0.45">
      <c r="A142" s="2"/>
      <c r="B142" s="2" t="s">
        <v>195</v>
      </c>
      <c r="C142" s="8" t="s">
        <v>22</v>
      </c>
      <c r="D142" s="8" t="s">
        <v>162</v>
      </c>
      <c r="E142" s="2"/>
      <c r="F142" s="2">
        <v>21.95</v>
      </c>
      <c r="G142" s="2">
        <v>392329</v>
      </c>
      <c r="H142" s="2">
        <v>18</v>
      </c>
      <c r="I142" s="2">
        <v>1235</v>
      </c>
      <c r="J142" s="2"/>
    </row>
    <row r="143" spans="1:10" x14ac:dyDescent="0.45">
      <c r="A143" s="2"/>
      <c r="B143" s="2" t="s">
        <v>195</v>
      </c>
      <c r="C143" s="8" t="s">
        <v>190</v>
      </c>
      <c r="D143" s="8" t="s">
        <v>84</v>
      </c>
      <c r="E143" s="2"/>
      <c r="F143" s="2">
        <v>600</v>
      </c>
      <c r="G143" s="2">
        <v>58063200</v>
      </c>
      <c r="H143" s="2">
        <v>5</v>
      </c>
      <c r="I143" s="2">
        <v>733</v>
      </c>
      <c r="J143" s="2"/>
    </row>
    <row r="144" spans="1:10" x14ac:dyDescent="0.45">
      <c r="A144" s="2"/>
      <c r="B144" s="2" t="s">
        <v>195</v>
      </c>
      <c r="C144" s="8" t="s">
        <v>190</v>
      </c>
      <c r="D144" s="8" t="s">
        <v>85</v>
      </c>
      <c r="E144" s="2"/>
      <c r="F144" s="2">
        <v>252</v>
      </c>
      <c r="G144" s="2">
        <v>58063200</v>
      </c>
      <c r="H144" s="2">
        <v>5</v>
      </c>
      <c r="I144" s="2">
        <v>80.199999999999989</v>
      </c>
      <c r="J144" s="2"/>
    </row>
    <row r="145" spans="1:10" x14ac:dyDescent="0.45">
      <c r="A145" s="2"/>
      <c r="B145" s="2" t="s">
        <v>17</v>
      </c>
      <c r="C145" s="2" t="s">
        <v>17</v>
      </c>
      <c r="D145" s="8" t="s">
        <v>31</v>
      </c>
      <c r="E145" s="2" t="s">
        <v>40</v>
      </c>
      <c r="F145" s="2">
        <v>275</v>
      </c>
      <c r="G145" s="2">
        <v>4821</v>
      </c>
      <c r="H145" s="2">
        <v>18</v>
      </c>
      <c r="I145" s="2">
        <v>17</v>
      </c>
      <c r="J145" s="2"/>
    </row>
    <row r="146" spans="1:10" x14ac:dyDescent="0.45">
      <c r="A146" s="2"/>
      <c r="B146" s="2" t="s">
        <v>17</v>
      </c>
      <c r="C146" s="8" t="s">
        <v>191</v>
      </c>
      <c r="D146" s="8" t="s">
        <v>99</v>
      </c>
      <c r="E146" s="2"/>
      <c r="F146" s="2">
        <v>200</v>
      </c>
      <c r="G146" s="2">
        <v>49089000</v>
      </c>
      <c r="H146" s="2">
        <v>18</v>
      </c>
      <c r="I146" s="2">
        <v>17.8</v>
      </c>
      <c r="J146" s="2"/>
    </row>
    <row r="147" spans="1:10" x14ac:dyDescent="0.45">
      <c r="A147" s="2"/>
      <c r="B147" s="2" t="s">
        <v>17</v>
      </c>
      <c r="C147" s="8" t="s">
        <v>191</v>
      </c>
      <c r="D147" s="8" t="s">
        <v>100</v>
      </c>
      <c r="E147" s="2"/>
      <c r="F147" s="2">
        <v>0.37</v>
      </c>
      <c r="G147" s="2">
        <v>580710</v>
      </c>
      <c r="H147" s="2">
        <v>5</v>
      </c>
      <c r="I147" s="2">
        <v>96571</v>
      </c>
      <c r="J147" s="2"/>
    </row>
    <row r="148" spans="1:10" x14ac:dyDescent="0.45">
      <c r="A148" s="2"/>
      <c r="B148" s="2" t="s">
        <v>195</v>
      </c>
      <c r="C148" s="2" t="s">
        <v>15</v>
      </c>
      <c r="D148" s="8" t="s">
        <v>299</v>
      </c>
      <c r="E148" s="2" t="s">
        <v>30</v>
      </c>
      <c r="F148" s="2">
        <v>175</v>
      </c>
      <c r="G148" s="2">
        <v>55081000</v>
      </c>
      <c r="H148" s="2">
        <v>5</v>
      </c>
      <c r="I148" s="2">
        <v>0</v>
      </c>
      <c r="J148" s="2"/>
    </row>
    <row r="149" spans="1:10" x14ac:dyDescent="0.45">
      <c r="A149" s="2"/>
      <c r="B149" s="2" t="s">
        <v>195</v>
      </c>
      <c r="C149" s="2" t="s">
        <v>15</v>
      </c>
      <c r="D149" s="8" t="s">
        <v>300</v>
      </c>
      <c r="E149" s="2" t="s">
        <v>32</v>
      </c>
      <c r="F149" s="2">
        <v>90</v>
      </c>
      <c r="G149" s="2">
        <v>55081000</v>
      </c>
      <c r="H149" s="2">
        <v>5</v>
      </c>
      <c r="I149" s="2">
        <v>0</v>
      </c>
      <c r="J149" s="2"/>
    </row>
    <row r="150" spans="1:10" x14ac:dyDescent="0.45">
      <c r="A150" s="2"/>
      <c r="B150" s="2" t="s">
        <v>195</v>
      </c>
      <c r="C150" s="2" t="s">
        <v>15</v>
      </c>
      <c r="D150" s="8" t="s">
        <v>301</v>
      </c>
      <c r="E150" s="2"/>
      <c r="F150" s="2">
        <v>65</v>
      </c>
      <c r="G150" s="2">
        <v>54024800</v>
      </c>
      <c r="H150" s="2">
        <v>12</v>
      </c>
      <c r="I150" s="2">
        <v>-10</v>
      </c>
      <c r="J150" s="2"/>
    </row>
    <row r="151" spans="1:10" x14ac:dyDescent="0.45">
      <c r="A151" s="2"/>
      <c r="B151" s="2" t="s">
        <v>195</v>
      </c>
      <c r="C151" s="2" t="s">
        <v>15</v>
      </c>
      <c r="D151" s="8" t="s">
        <v>302</v>
      </c>
      <c r="E151" s="2"/>
      <c r="F151" s="2">
        <v>50</v>
      </c>
      <c r="G151" s="2">
        <v>55081000</v>
      </c>
      <c r="H151" s="2">
        <v>5</v>
      </c>
      <c r="I151" s="2">
        <v>6</v>
      </c>
      <c r="J151" s="2"/>
    </row>
    <row r="152" spans="1:10" x14ac:dyDescent="0.45">
      <c r="A152" s="2"/>
      <c r="B152" s="2" t="s">
        <v>195</v>
      </c>
      <c r="C152" s="2" t="s">
        <v>15</v>
      </c>
      <c r="D152" s="8" t="s">
        <v>101</v>
      </c>
      <c r="E152" s="2"/>
      <c r="F152" s="2">
        <v>50</v>
      </c>
      <c r="G152" s="2">
        <v>55081000</v>
      </c>
      <c r="H152" s="2">
        <v>5</v>
      </c>
      <c r="I152" s="2">
        <v>4</v>
      </c>
      <c r="J152" s="2"/>
    </row>
    <row r="153" spans="1:10" x14ac:dyDescent="0.45">
      <c r="A153" s="2"/>
      <c r="B153" s="2" t="s">
        <v>195</v>
      </c>
      <c r="C153" s="2" t="s">
        <v>15</v>
      </c>
      <c r="D153" s="8" t="s">
        <v>102</v>
      </c>
      <c r="E153" s="2"/>
      <c r="F153" s="2">
        <v>50</v>
      </c>
      <c r="G153" s="2">
        <v>55081000</v>
      </c>
      <c r="H153" s="2">
        <v>5</v>
      </c>
      <c r="I153" s="2">
        <v>5</v>
      </c>
      <c r="J153" s="2"/>
    </row>
    <row r="154" spans="1:10" x14ac:dyDescent="0.45">
      <c r="A154" s="2"/>
      <c r="B154" s="2" t="s">
        <v>195</v>
      </c>
      <c r="C154" s="2" t="s">
        <v>15</v>
      </c>
      <c r="D154" s="8" t="s">
        <v>103</v>
      </c>
      <c r="E154" s="2"/>
      <c r="F154" s="2">
        <v>61.83</v>
      </c>
      <c r="G154" s="2">
        <v>55081000</v>
      </c>
      <c r="H154" s="2">
        <v>5</v>
      </c>
      <c r="I154" s="2">
        <v>1436</v>
      </c>
      <c r="J154" s="2"/>
    </row>
    <row r="155" spans="1:10" x14ac:dyDescent="0.45">
      <c r="A155" s="2"/>
      <c r="B155" s="2" t="s">
        <v>195</v>
      </c>
      <c r="C155" s="2" t="s">
        <v>15</v>
      </c>
      <c r="D155" s="8" t="s">
        <v>104</v>
      </c>
      <c r="E155" s="2"/>
      <c r="F155" s="2">
        <v>61.83</v>
      </c>
      <c r="G155" s="2">
        <v>55081000</v>
      </c>
      <c r="H155" s="2">
        <v>5</v>
      </c>
      <c r="I155" s="2">
        <v>0</v>
      </c>
      <c r="J155" s="2"/>
    </row>
    <row r="156" spans="1:10" x14ac:dyDescent="0.45">
      <c r="A156" s="2"/>
      <c r="B156" s="2" t="s">
        <v>195</v>
      </c>
      <c r="C156" s="2" t="s">
        <v>15</v>
      </c>
      <c r="D156" s="8" t="s">
        <v>105</v>
      </c>
      <c r="E156" s="2"/>
      <c r="F156" s="2">
        <v>61.83</v>
      </c>
      <c r="G156" s="2">
        <v>55081000</v>
      </c>
      <c r="H156" s="2">
        <v>5</v>
      </c>
      <c r="I156" s="2">
        <v>402</v>
      </c>
      <c r="J156" s="2"/>
    </row>
    <row r="157" spans="1:10" x14ac:dyDescent="0.45">
      <c r="A157" s="2"/>
      <c r="B157" s="2" t="s">
        <v>195</v>
      </c>
      <c r="C157" s="2" t="s">
        <v>15</v>
      </c>
      <c r="D157" s="8" t="s">
        <v>106</v>
      </c>
      <c r="E157" s="2"/>
      <c r="F157" s="2">
        <v>61.83</v>
      </c>
      <c r="G157" s="2">
        <v>55081000</v>
      </c>
      <c r="H157" s="2">
        <v>5</v>
      </c>
      <c r="I157" s="2">
        <v>333</v>
      </c>
      <c r="J157" s="2"/>
    </row>
    <row r="158" spans="1:10" x14ac:dyDescent="0.45">
      <c r="A158" s="2"/>
      <c r="B158" s="2" t="s">
        <v>195</v>
      </c>
      <c r="C158" s="2" t="s">
        <v>15</v>
      </c>
      <c r="D158" s="8" t="s">
        <v>107</v>
      </c>
      <c r="E158" s="2"/>
      <c r="F158" s="2">
        <v>61.83</v>
      </c>
      <c r="G158" s="2">
        <v>55081000</v>
      </c>
      <c r="H158" s="2">
        <v>5</v>
      </c>
      <c r="I158" s="2">
        <v>-30</v>
      </c>
      <c r="J158" s="2"/>
    </row>
    <row r="159" spans="1:10" x14ac:dyDescent="0.45">
      <c r="A159" s="2"/>
      <c r="B159" s="2" t="s">
        <v>195</v>
      </c>
      <c r="C159" s="2" t="s">
        <v>15</v>
      </c>
      <c r="D159" s="8" t="s">
        <v>108</v>
      </c>
      <c r="E159" s="2"/>
      <c r="F159" s="2">
        <v>61.83</v>
      </c>
      <c r="G159" s="2">
        <v>55081000</v>
      </c>
      <c r="H159" s="2">
        <v>5</v>
      </c>
      <c r="I159" s="2">
        <v>0</v>
      </c>
      <c r="J159" s="2"/>
    </row>
    <row r="160" spans="1:10" x14ac:dyDescent="0.45">
      <c r="A160" s="2"/>
      <c r="B160" s="2" t="s">
        <v>195</v>
      </c>
      <c r="C160" s="2" t="s">
        <v>15</v>
      </c>
      <c r="D160" s="8" t="s">
        <v>109</v>
      </c>
      <c r="E160" s="2"/>
      <c r="F160" s="2">
        <v>61.83</v>
      </c>
      <c r="G160" s="2">
        <v>55081000</v>
      </c>
      <c r="H160" s="2">
        <v>5</v>
      </c>
      <c r="I160" s="2">
        <v>160</v>
      </c>
      <c r="J160" s="2"/>
    </row>
    <row r="161" spans="1:10" x14ac:dyDescent="0.45">
      <c r="A161" s="2"/>
      <c r="B161" s="2" t="s">
        <v>195</v>
      </c>
      <c r="C161" s="2" t="s">
        <v>15</v>
      </c>
      <c r="D161" s="8" t="s">
        <v>110</v>
      </c>
      <c r="E161" s="2"/>
      <c r="F161" s="2">
        <v>50</v>
      </c>
      <c r="G161" s="2">
        <v>55081000</v>
      </c>
      <c r="H161" s="2">
        <v>5</v>
      </c>
      <c r="I161" s="2">
        <v>4</v>
      </c>
      <c r="J161" s="2"/>
    </row>
    <row r="162" spans="1:10" x14ac:dyDescent="0.45">
      <c r="A162" s="2"/>
      <c r="B162" s="2" t="s">
        <v>195</v>
      </c>
      <c r="C162" s="2" t="s">
        <v>15</v>
      </c>
      <c r="D162" s="8" t="s">
        <v>111</v>
      </c>
      <c r="E162" s="2"/>
      <c r="F162" s="2">
        <v>50</v>
      </c>
      <c r="G162" s="2">
        <v>55081000</v>
      </c>
      <c r="H162" s="2">
        <v>5</v>
      </c>
      <c r="I162" s="2">
        <v>23</v>
      </c>
      <c r="J162" s="2"/>
    </row>
    <row r="163" spans="1:10" x14ac:dyDescent="0.45">
      <c r="A163" s="2"/>
      <c r="B163" s="2" t="s">
        <v>195</v>
      </c>
      <c r="C163" s="2" t="s">
        <v>15</v>
      </c>
      <c r="D163" s="8" t="s">
        <v>112</v>
      </c>
      <c r="E163" s="2"/>
      <c r="F163" s="2">
        <v>50</v>
      </c>
      <c r="G163" s="2">
        <v>55081000</v>
      </c>
      <c r="H163" s="2">
        <v>5</v>
      </c>
      <c r="I163" s="2">
        <v>11</v>
      </c>
      <c r="J163" s="2"/>
    </row>
    <row r="164" spans="1:10" x14ac:dyDescent="0.45">
      <c r="A164" s="2"/>
      <c r="B164" s="2" t="s">
        <v>195</v>
      </c>
      <c r="C164" s="2" t="s">
        <v>15</v>
      </c>
      <c r="D164" s="8" t="s">
        <v>113</v>
      </c>
      <c r="E164" s="2"/>
      <c r="F164" s="2">
        <v>62.42</v>
      </c>
      <c r="G164" s="2">
        <v>55081000</v>
      </c>
      <c r="H164" s="2">
        <v>5</v>
      </c>
      <c r="I164" s="2">
        <v>922</v>
      </c>
      <c r="J164" s="2"/>
    </row>
    <row r="165" spans="1:10" x14ac:dyDescent="0.45">
      <c r="A165" s="2"/>
      <c r="B165" s="2" t="s">
        <v>195</v>
      </c>
      <c r="C165" s="2" t="s">
        <v>15</v>
      </c>
      <c r="D165" s="8" t="s">
        <v>114</v>
      </c>
      <c r="E165" s="2"/>
      <c r="F165" s="2">
        <v>62.42</v>
      </c>
      <c r="G165" s="2">
        <v>55081000</v>
      </c>
      <c r="H165" s="2">
        <v>5</v>
      </c>
      <c r="I165" s="2">
        <v>0</v>
      </c>
      <c r="J165" s="2"/>
    </row>
    <row r="166" spans="1:10" x14ac:dyDescent="0.45">
      <c r="A166" s="2"/>
      <c r="B166" s="2" t="s">
        <v>195</v>
      </c>
      <c r="C166" s="2" t="s">
        <v>15</v>
      </c>
      <c r="D166" s="8" t="s">
        <v>115</v>
      </c>
      <c r="E166" s="2"/>
      <c r="F166" s="2">
        <v>62.42</v>
      </c>
      <c r="G166" s="2">
        <v>55081000</v>
      </c>
      <c r="H166" s="2">
        <v>5</v>
      </c>
      <c r="I166" s="2">
        <v>244</v>
      </c>
      <c r="J166" s="2"/>
    </row>
    <row r="167" spans="1:10" x14ac:dyDescent="0.45">
      <c r="A167" s="2"/>
      <c r="B167" s="2" t="s">
        <v>195</v>
      </c>
      <c r="C167" s="2" t="s">
        <v>15</v>
      </c>
      <c r="D167" s="8" t="s">
        <v>116</v>
      </c>
      <c r="E167" s="2"/>
      <c r="F167" s="2">
        <v>62.42</v>
      </c>
      <c r="G167" s="2">
        <v>55081000</v>
      </c>
      <c r="H167" s="2">
        <v>5</v>
      </c>
      <c r="I167" s="2">
        <v>0</v>
      </c>
      <c r="J167" s="2"/>
    </row>
    <row r="168" spans="1:10" x14ac:dyDescent="0.45">
      <c r="A168" s="2"/>
      <c r="B168" s="2" t="s">
        <v>195</v>
      </c>
      <c r="C168" s="2" t="s">
        <v>15</v>
      </c>
      <c r="D168" s="8" t="s">
        <v>117</v>
      </c>
      <c r="E168" s="2"/>
      <c r="F168" s="2">
        <v>62.42</v>
      </c>
      <c r="G168" s="2">
        <v>55081000</v>
      </c>
      <c r="H168" s="2">
        <v>5</v>
      </c>
      <c r="I168" s="2">
        <v>120</v>
      </c>
      <c r="J168" s="2"/>
    </row>
    <row r="169" spans="1:10" x14ac:dyDescent="0.45">
      <c r="A169" s="2"/>
      <c r="B169" s="2" t="s">
        <v>195</v>
      </c>
      <c r="C169" s="2" t="s">
        <v>15</v>
      </c>
      <c r="D169" s="8" t="s">
        <v>118</v>
      </c>
      <c r="E169" s="2"/>
      <c r="F169" s="2">
        <v>10</v>
      </c>
      <c r="G169" s="2">
        <v>55081000</v>
      </c>
      <c r="H169" s="2">
        <v>5</v>
      </c>
      <c r="I169" s="2">
        <v>0</v>
      </c>
      <c r="J169" s="2"/>
    </row>
    <row r="170" spans="1:10" x14ac:dyDescent="0.45">
      <c r="A170" s="2"/>
      <c r="B170" s="2" t="s">
        <v>195</v>
      </c>
      <c r="C170" s="2" t="s">
        <v>15</v>
      </c>
      <c r="D170" s="8" t="s">
        <v>119</v>
      </c>
      <c r="E170" s="2"/>
      <c r="F170" s="2">
        <v>10</v>
      </c>
      <c r="G170" s="2">
        <v>55081000</v>
      </c>
      <c r="H170" s="2">
        <v>5</v>
      </c>
      <c r="I170" s="2">
        <v>0</v>
      </c>
      <c r="J170" s="2"/>
    </row>
    <row r="171" spans="1:10" x14ac:dyDescent="0.45">
      <c r="A171" s="2"/>
      <c r="B171" s="2" t="s">
        <v>195</v>
      </c>
      <c r="C171" s="2" t="s">
        <v>15</v>
      </c>
      <c r="D171" s="8" t="s">
        <v>120</v>
      </c>
      <c r="E171" s="2"/>
      <c r="F171" s="2">
        <v>10</v>
      </c>
      <c r="G171" s="2">
        <v>55081000</v>
      </c>
      <c r="H171" s="2">
        <v>5</v>
      </c>
      <c r="I171" s="2">
        <v>0</v>
      </c>
      <c r="J171" s="2"/>
    </row>
    <row r="172" spans="1:10" x14ac:dyDescent="0.45">
      <c r="A172" s="2"/>
      <c r="B172" s="2" t="s">
        <v>195</v>
      </c>
      <c r="C172" s="2" t="s">
        <v>15</v>
      </c>
      <c r="D172" s="8" t="s">
        <v>121</v>
      </c>
      <c r="E172" s="2"/>
      <c r="F172" s="2">
        <v>10</v>
      </c>
      <c r="G172" s="2">
        <v>55081000</v>
      </c>
      <c r="H172" s="2">
        <v>5</v>
      </c>
      <c r="I172" s="2">
        <v>0</v>
      </c>
      <c r="J172" s="2"/>
    </row>
    <row r="173" spans="1:10" x14ac:dyDescent="0.45">
      <c r="A173" s="2"/>
      <c r="B173" s="2" t="s">
        <v>195</v>
      </c>
      <c r="C173" s="2" t="s">
        <v>15</v>
      </c>
      <c r="D173" s="8" t="s">
        <v>122</v>
      </c>
      <c r="E173" s="2"/>
      <c r="F173" s="2">
        <v>10</v>
      </c>
      <c r="G173" s="2">
        <v>55081000</v>
      </c>
      <c r="H173" s="2">
        <v>5</v>
      </c>
      <c r="I173" s="2">
        <v>0</v>
      </c>
      <c r="J173" s="2"/>
    </row>
    <row r="174" spans="1:10" x14ac:dyDescent="0.45">
      <c r="A174" s="2"/>
      <c r="B174" s="2" t="s">
        <v>195</v>
      </c>
      <c r="C174" s="2" t="s">
        <v>15</v>
      </c>
      <c r="D174" s="8" t="s">
        <v>123</v>
      </c>
      <c r="E174" s="2"/>
      <c r="F174" s="2">
        <v>10</v>
      </c>
      <c r="G174" s="2">
        <v>55081000</v>
      </c>
      <c r="H174" s="2">
        <v>5</v>
      </c>
      <c r="I174" s="2">
        <v>0</v>
      </c>
      <c r="J174" s="2"/>
    </row>
    <row r="175" spans="1:10" x14ac:dyDescent="0.45">
      <c r="A175" s="2"/>
      <c r="B175" s="2" t="s">
        <v>195</v>
      </c>
      <c r="C175" s="2" t="s">
        <v>15</v>
      </c>
      <c r="D175" s="8" t="s">
        <v>124</v>
      </c>
      <c r="E175" s="2"/>
      <c r="F175" s="2">
        <v>10</v>
      </c>
      <c r="G175" s="2">
        <v>55081000</v>
      </c>
      <c r="H175" s="2">
        <v>5</v>
      </c>
      <c r="I175" s="2">
        <v>0</v>
      </c>
      <c r="J175" s="2"/>
    </row>
    <row r="176" spans="1:10" x14ac:dyDescent="0.45">
      <c r="A176" s="2"/>
      <c r="B176" s="2" t="s">
        <v>195</v>
      </c>
      <c r="C176" s="2" t="s">
        <v>15</v>
      </c>
      <c r="D176" s="8" t="s">
        <v>125</v>
      </c>
      <c r="E176" s="2"/>
      <c r="F176" s="2">
        <v>10</v>
      </c>
      <c r="G176" s="2">
        <v>55081000</v>
      </c>
      <c r="H176" s="2">
        <v>5</v>
      </c>
      <c r="I176" s="2">
        <v>0</v>
      </c>
      <c r="J176" s="2"/>
    </row>
    <row r="177" spans="1:10" x14ac:dyDescent="0.45">
      <c r="A177" s="2"/>
      <c r="B177" s="2" t="s">
        <v>195</v>
      </c>
      <c r="C177" s="2" t="s">
        <v>15</v>
      </c>
      <c r="D177" s="8" t="s">
        <v>126</v>
      </c>
      <c r="E177" s="2"/>
      <c r="F177" s="2">
        <v>10</v>
      </c>
      <c r="G177" s="2">
        <v>55081000</v>
      </c>
      <c r="H177" s="2">
        <v>5</v>
      </c>
      <c r="I177" s="2">
        <v>0</v>
      </c>
      <c r="J177" s="2"/>
    </row>
    <row r="178" spans="1:10" x14ac:dyDescent="0.45">
      <c r="A178" s="2"/>
      <c r="B178" s="2" t="s">
        <v>195</v>
      </c>
      <c r="C178" s="2" t="s">
        <v>15</v>
      </c>
      <c r="D178" s="8" t="s">
        <v>127</v>
      </c>
      <c r="E178" s="2"/>
      <c r="F178" s="2">
        <v>10</v>
      </c>
      <c r="G178" s="2">
        <v>55081000</v>
      </c>
      <c r="H178" s="2">
        <v>5</v>
      </c>
      <c r="I178" s="2">
        <v>0</v>
      </c>
      <c r="J178" s="2"/>
    </row>
    <row r="179" spans="1:10" x14ac:dyDescent="0.45">
      <c r="A179" s="2"/>
      <c r="B179" s="2" t="s">
        <v>195</v>
      </c>
      <c r="C179" s="2" t="s">
        <v>15</v>
      </c>
      <c r="D179" s="8" t="s">
        <v>128</v>
      </c>
      <c r="E179" s="2"/>
      <c r="F179" s="2">
        <v>10</v>
      </c>
      <c r="G179" s="2">
        <v>55081000</v>
      </c>
      <c r="H179" s="2">
        <v>5</v>
      </c>
      <c r="I179" s="2">
        <v>0</v>
      </c>
      <c r="J179" s="2"/>
    </row>
    <row r="180" spans="1:10" x14ac:dyDescent="0.45">
      <c r="A180" s="2"/>
      <c r="B180" s="2" t="s">
        <v>195</v>
      </c>
      <c r="C180" s="2" t="s">
        <v>15</v>
      </c>
      <c r="D180" s="8" t="s">
        <v>129</v>
      </c>
      <c r="E180" s="2"/>
      <c r="F180" s="2">
        <v>10</v>
      </c>
      <c r="G180" s="2">
        <v>55081000</v>
      </c>
      <c r="H180" s="2">
        <v>5</v>
      </c>
      <c r="I180" s="2">
        <v>0</v>
      </c>
      <c r="J180" s="2"/>
    </row>
    <row r="181" spans="1:10" x14ac:dyDescent="0.45">
      <c r="A181" s="2"/>
      <c r="B181" s="2" t="s">
        <v>195</v>
      </c>
      <c r="C181" s="2" t="s">
        <v>15</v>
      </c>
      <c r="D181" s="8" t="s">
        <v>130</v>
      </c>
      <c r="E181" s="2"/>
      <c r="F181" s="2">
        <v>80</v>
      </c>
      <c r="G181" s="2">
        <v>55081000</v>
      </c>
      <c r="H181" s="2">
        <v>5</v>
      </c>
      <c r="I181" s="2">
        <v>0</v>
      </c>
      <c r="J181" s="2"/>
    </row>
    <row r="182" spans="1:10" x14ac:dyDescent="0.45">
      <c r="A182" s="2"/>
      <c r="B182" s="2" t="s">
        <v>195</v>
      </c>
      <c r="C182" s="2" t="s">
        <v>15</v>
      </c>
      <c r="D182" s="8" t="s">
        <v>176</v>
      </c>
      <c r="E182" s="2"/>
      <c r="F182" s="8"/>
      <c r="G182" s="2">
        <v>55081000</v>
      </c>
      <c r="H182" s="2">
        <v>5</v>
      </c>
      <c r="I182" s="2">
        <v>200</v>
      </c>
      <c r="J182" s="2"/>
    </row>
    <row r="183" spans="1:10" x14ac:dyDescent="0.45">
      <c r="A183" s="2"/>
      <c r="B183" s="2" t="s">
        <v>196</v>
      </c>
      <c r="C183" s="8" t="s">
        <v>20</v>
      </c>
      <c r="D183" s="8" t="s">
        <v>47</v>
      </c>
      <c r="E183" s="2" t="s">
        <v>73</v>
      </c>
      <c r="F183" s="2">
        <v>250</v>
      </c>
      <c r="G183" s="2">
        <v>8207</v>
      </c>
      <c r="H183" s="2">
        <v>18</v>
      </c>
      <c r="I183" s="2">
        <v>5</v>
      </c>
      <c r="J183" s="2"/>
    </row>
    <row r="184" spans="1:10" x14ac:dyDescent="0.45">
      <c r="A184" s="2"/>
      <c r="B184" s="2" t="s">
        <v>196</v>
      </c>
      <c r="C184" s="8" t="s">
        <v>20</v>
      </c>
      <c r="D184" s="8" t="s">
        <v>164</v>
      </c>
      <c r="E184" s="2"/>
      <c r="F184" s="2">
        <v>1500</v>
      </c>
      <c r="G184" s="2">
        <v>84529099</v>
      </c>
      <c r="H184" s="2">
        <v>5</v>
      </c>
      <c r="I184" s="2">
        <v>8</v>
      </c>
      <c r="J184" s="2"/>
    </row>
    <row r="185" spans="1:10" x14ac:dyDescent="0.45">
      <c r="A185" s="2"/>
      <c r="B185" s="2" t="s">
        <v>195</v>
      </c>
      <c r="C185" s="8" t="s">
        <v>192</v>
      </c>
      <c r="D185" s="8" t="s">
        <v>133</v>
      </c>
      <c r="E185" s="2"/>
      <c r="F185" s="2">
        <v>1.79</v>
      </c>
      <c r="G185" s="2">
        <v>39269099</v>
      </c>
      <c r="H185" s="2">
        <v>18</v>
      </c>
      <c r="I185" s="2">
        <v>0</v>
      </c>
      <c r="J185" s="2"/>
    </row>
    <row r="186" spans="1:10" x14ac:dyDescent="0.45">
      <c r="A186" s="2"/>
      <c r="B186" s="2" t="s">
        <v>195</v>
      </c>
      <c r="C186" s="8" t="s">
        <v>192</v>
      </c>
      <c r="D186" s="8" t="s">
        <v>134</v>
      </c>
      <c r="E186" s="2"/>
      <c r="F186" s="2">
        <v>24</v>
      </c>
      <c r="G186" s="2">
        <v>39269099</v>
      </c>
      <c r="H186" s="2">
        <v>18</v>
      </c>
      <c r="I186" s="2">
        <v>25</v>
      </c>
      <c r="J186" s="2"/>
    </row>
    <row r="187" spans="1:10" x14ac:dyDescent="0.45">
      <c r="A187" s="2"/>
      <c r="B187" s="2" t="s">
        <v>195</v>
      </c>
      <c r="C187" s="8" t="s">
        <v>192</v>
      </c>
      <c r="D187" s="8" t="s">
        <v>135</v>
      </c>
      <c r="E187" s="2"/>
      <c r="F187" s="8">
        <v>2</v>
      </c>
      <c r="G187" s="2">
        <v>39269099</v>
      </c>
      <c r="H187" s="2">
        <v>18</v>
      </c>
      <c r="I187" s="2">
        <v>25</v>
      </c>
      <c r="J187" s="2"/>
    </row>
    <row r="188" spans="1:10" x14ac:dyDescent="0.45">
      <c r="A188" s="2"/>
      <c r="B188" s="2" t="s">
        <v>195</v>
      </c>
      <c r="C188" s="8" t="s">
        <v>192</v>
      </c>
      <c r="D188" s="8" t="s">
        <v>136</v>
      </c>
      <c r="E188" s="2"/>
      <c r="F188" s="2">
        <v>12</v>
      </c>
      <c r="G188" s="2">
        <v>39269099</v>
      </c>
      <c r="H188" s="2">
        <v>18</v>
      </c>
      <c r="I188" s="2">
        <v>25</v>
      </c>
      <c r="J188" s="2"/>
    </row>
    <row r="189" spans="1:10" x14ac:dyDescent="0.45">
      <c r="A189" s="2"/>
      <c r="B189" s="2" t="s">
        <v>195</v>
      </c>
      <c r="C189" s="8" t="s">
        <v>192</v>
      </c>
      <c r="D189" s="8" t="s">
        <v>137</v>
      </c>
      <c r="E189" s="2"/>
      <c r="F189" s="8">
        <v>2</v>
      </c>
      <c r="G189" s="2">
        <v>39269099</v>
      </c>
      <c r="H189" s="2">
        <v>18</v>
      </c>
      <c r="I189" s="2">
        <v>25</v>
      </c>
      <c r="J189" s="2"/>
    </row>
    <row r="190" spans="1:10" x14ac:dyDescent="0.45">
      <c r="A190" s="2"/>
      <c r="B190" s="2" t="s">
        <v>195</v>
      </c>
      <c r="C190" s="8" t="s">
        <v>192</v>
      </c>
      <c r="D190" s="8" t="s">
        <v>138</v>
      </c>
      <c r="E190" s="2"/>
      <c r="F190" s="2">
        <v>2.2999999999999998</v>
      </c>
      <c r="G190" s="2">
        <v>39269099</v>
      </c>
      <c r="H190" s="2">
        <v>18</v>
      </c>
      <c r="I190" s="2">
        <v>25</v>
      </c>
      <c r="J190" s="2"/>
    </row>
    <row r="191" spans="1:10" x14ac:dyDescent="0.45">
      <c r="A191" s="2"/>
      <c r="B191" s="2" t="s">
        <v>195</v>
      </c>
      <c r="C191" s="8" t="s">
        <v>192</v>
      </c>
      <c r="D191" s="8" t="s">
        <v>139</v>
      </c>
      <c r="E191" s="2"/>
      <c r="F191" s="2">
        <v>2.2999999999999998</v>
      </c>
      <c r="G191" s="2">
        <v>39269099</v>
      </c>
      <c r="H191" s="2">
        <v>18</v>
      </c>
      <c r="I191" s="2">
        <v>25</v>
      </c>
      <c r="J191" s="2"/>
    </row>
    <row r="192" spans="1:10" x14ac:dyDescent="0.45">
      <c r="A192" s="2"/>
      <c r="B192" s="2" t="s">
        <v>195</v>
      </c>
      <c r="C192" s="8" t="s">
        <v>192</v>
      </c>
      <c r="D192" s="8" t="s">
        <v>140</v>
      </c>
      <c r="E192" s="2"/>
      <c r="F192" s="2">
        <v>2.6</v>
      </c>
      <c r="G192" s="2">
        <v>39269099</v>
      </c>
      <c r="H192" s="2">
        <v>18</v>
      </c>
      <c r="I192" s="2">
        <v>53200</v>
      </c>
      <c r="J192" s="2"/>
    </row>
    <row r="193" spans="1:10" x14ac:dyDescent="0.45">
      <c r="A193" s="2"/>
      <c r="B193" s="2" t="s">
        <v>195</v>
      </c>
      <c r="C193" s="8" t="s">
        <v>192</v>
      </c>
      <c r="D193" s="8" t="s">
        <v>141</v>
      </c>
      <c r="E193" s="2"/>
      <c r="F193" s="2">
        <v>2.2999999999999998</v>
      </c>
      <c r="G193" s="2">
        <v>39269099</v>
      </c>
      <c r="H193" s="2">
        <v>18</v>
      </c>
      <c r="I193" s="2">
        <v>100</v>
      </c>
      <c r="J193" s="2"/>
    </row>
    <row r="194" spans="1:10" x14ac:dyDescent="0.45">
      <c r="A194" s="2"/>
      <c r="B194" s="2" t="s">
        <v>195</v>
      </c>
      <c r="C194" s="8" t="s">
        <v>192</v>
      </c>
      <c r="D194" s="8" t="s">
        <v>142</v>
      </c>
      <c r="E194" s="2"/>
      <c r="F194" s="2">
        <v>2.2999999999999998</v>
      </c>
      <c r="G194" s="2">
        <v>39269099</v>
      </c>
      <c r="H194" s="2">
        <v>18</v>
      </c>
      <c r="I194" s="2">
        <v>100</v>
      </c>
      <c r="J194" s="2"/>
    </row>
    <row r="195" spans="1:10" x14ac:dyDescent="0.45">
      <c r="A195" s="2"/>
      <c r="B195" s="2" t="s">
        <v>195</v>
      </c>
      <c r="C195" s="8" t="s">
        <v>192</v>
      </c>
      <c r="D195" s="8" t="s">
        <v>143</v>
      </c>
      <c r="E195" s="2"/>
      <c r="F195" s="2">
        <v>4.25</v>
      </c>
      <c r="G195" s="2">
        <v>39269099</v>
      </c>
      <c r="H195" s="2">
        <v>18</v>
      </c>
      <c r="I195" s="2">
        <v>0</v>
      </c>
      <c r="J195" s="2"/>
    </row>
    <row r="196" spans="1:10" x14ac:dyDescent="0.45">
      <c r="A196" s="2"/>
      <c r="B196" s="2" t="s">
        <v>195</v>
      </c>
      <c r="C196" s="8" t="s">
        <v>192</v>
      </c>
      <c r="D196" s="8" t="s">
        <v>144</v>
      </c>
      <c r="E196" s="2"/>
      <c r="F196" s="2">
        <v>3.8</v>
      </c>
      <c r="G196" s="2">
        <v>39269099</v>
      </c>
      <c r="H196" s="2">
        <v>18</v>
      </c>
      <c r="I196" s="2">
        <v>400</v>
      </c>
      <c r="J196" s="2"/>
    </row>
    <row r="197" spans="1:10" x14ac:dyDescent="0.45">
      <c r="A197" s="2"/>
      <c r="B197" s="2" t="s">
        <v>195</v>
      </c>
      <c r="C197" s="8" t="s">
        <v>192</v>
      </c>
      <c r="D197" s="8" t="s">
        <v>145</v>
      </c>
      <c r="E197" s="2"/>
      <c r="F197" s="2">
        <v>6</v>
      </c>
      <c r="G197" s="2">
        <v>39269099</v>
      </c>
      <c r="H197" s="2">
        <v>18</v>
      </c>
      <c r="I197" s="2">
        <v>150</v>
      </c>
      <c r="J197" s="2"/>
    </row>
    <row r="198" spans="1:10" x14ac:dyDescent="0.45">
      <c r="A198" s="2"/>
      <c r="B198" s="2" t="s">
        <v>195</v>
      </c>
      <c r="C198" s="8" t="s">
        <v>192</v>
      </c>
      <c r="D198" s="8" t="s">
        <v>146</v>
      </c>
      <c r="E198" s="2"/>
      <c r="F198" s="8">
        <v>2</v>
      </c>
      <c r="G198" s="2">
        <v>39269099</v>
      </c>
      <c r="H198" s="2">
        <v>18</v>
      </c>
      <c r="I198" s="2">
        <v>50</v>
      </c>
      <c r="J198" s="2"/>
    </row>
    <row r="199" spans="1:10" x14ac:dyDescent="0.45">
      <c r="A199" s="2"/>
      <c r="B199" s="2" t="s">
        <v>195</v>
      </c>
      <c r="C199" s="8" t="s">
        <v>192</v>
      </c>
      <c r="D199" s="8" t="s">
        <v>147</v>
      </c>
      <c r="E199" s="2"/>
      <c r="F199" s="2">
        <v>2.2999999999999998</v>
      </c>
      <c r="G199" s="2">
        <v>39269099</v>
      </c>
      <c r="H199" s="2">
        <v>18</v>
      </c>
      <c r="I199" s="2">
        <v>25</v>
      </c>
      <c r="J199" s="2"/>
    </row>
    <row r="200" spans="1:10" x14ac:dyDescent="0.45">
      <c r="A200" s="2"/>
      <c r="B200" s="2" t="s">
        <v>195</v>
      </c>
      <c r="C200" s="8" t="s">
        <v>192</v>
      </c>
      <c r="D200" s="8" t="s">
        <v>148</v>
      </c>
      <c r="E200" s="2"/>
      <c r="F200" s="2">
        <v>2.2999999999999998</v>
      </c>
      <c r="G200" s="2">
        <v>39269099</v>
      </c>
      <c r="H200" s="2">
        <v>18</v>
      </c>
      <c r="I200" s="2">
        <v>25</v>
      </c>
      <c r="J200" s="2"/>
    </row>
    <row r="201" spans="1:10" x14ac:dyDescent="0.45">
      <c r="A201" s="2"/>
      <c r="B201" s="2" t="s">
        <v>195</v>
      </c>
      <c r="C201" s="8" t="s">
        <v>192</v>
      </c>
      <c r="D201" s="8" t="s">
        <v>149</v>
      </c>
      <c r="E201" s="2"/>
      <c r="F201" s="2">
        <v>2.2999999999999998</v>
      </c>
      <c r="G201" s="2">
        <v>39269099</v>
      </c>
      <c r="H201" s="2">
        <v>18</v>
      </c>
      <c r="I201" s="2">
        <v>25</v>
      </c>
      <c r="J201" s="2"/>
    </row>
    <row r="202" spans="1:10" x14ac:dyDescent="0.45">
      <c r="A202" s="2"/>
      <c r="B202" s="2" t="s">
        <v>195</v>
      </c>
      <c r="C202" s="8" t="s">
        <v>192</v>
      </c>
      <c r="D202" s="8" t="s">
        <v>150</v>
      </c>
      <c r="E202" s="2"/>
      <c r="F202" s="2">
        <v>4.25</v>
      </c>
      <c r="G202" s="2">
        <v>39269099</v>
      </c>
      <c r="H202" s="2">
        <v>18</v>
      </c>
      <c r="I202" s="2">
        <v>19000</v>
      </c>
      <c r="J202" s="2"/>
    </row>
    <row r="203" spans="1:10" x14ac:dyDescent="0.45">
      <c r="A203" s="2"/>
      <c r="B203" s="2" t="s">
        <v>195</v>
      </c>
      <c r="C203" s="8" t="s">
        <v>192</v>
      </c>
      <c r="D203" s="8" t="s">
        <v>151</v>
      </c>
      <c r="E203" s="2"/>
      <c r="F203" s="2">
        <v>2.2999999999999998</v>
      </c>
      <c r="G203" s="2">
        <v>39269099</v>
      </c>
      <c r="H203" s="2">
        <v>18</v>
      </c>
      <c r="I203" s="2">
        <v>100</v>
      </c>
      <c r="J203" s="2"/>
    </row>
    <row r="204" spans="1:10" x14ac:dyDescent="0.45">
      <c r="A204" s="2"/>
      <c r="B204" s="2" t="s">
        <v>195</v>
      </c>
      <c r="C204" s="8" t="s">
        <v>192</v>
      </c>
      <c r="D204" s="8" t="s">
        <v>152</v>
      </c>
      <c r="E204" s="2"/>
      <c r="F204" s="2">
        <v>2.2999999999999998</v>
      </c>
      <c r="G204" s="2">
        <v>39269099</v>
      </c>
      <c r="H204" s="2">
        <v>18</v>
      </c>
      <c r="I204" s="2">
        <v>175</v>
      </c>
      <c r="J204" s="2"/>
    </row>
    <row r="205" spans="1:10" x14ac:dyDescent="0.45">
      <c r="A205" s="2"/>
      <c r="B205" s="2" t="s">
        <v>195</v>
      </c>
      <c r="C205" s="8" t="s">
        <v>192</v>
      </c>
      <c r="D205" s="8" t="s">
        <v>153</v>
      </c>
      <c r="E205" s="2"/>
      <c r="F205" s="2">
        <v>4.25</v>
      </c>
      <c r="G205" s="2">
        <v>39269099</v>
      </c>
      <c r="H205" s="2">
        <v>18</v>
      </c>
      <c r="I205" s="2">
        <v>200</v>
      </c>
      <c r="J205" s="2"/>
    </row>
    <row r="206" spans="1:10" x14ac:dyDescent="0.45">
      <c r="A206" s="2"/>
      <c r="B206" s="2" t="s">
        <v>195</v>
      </c>
      <c r="C206" s="8" t="s">
        <v>192</v>
      </c>
      <c r="D206" s="8" t="s">
        <v>154</v>
      </c>
      <c r="E206" s="2"/>
      <c r="F206" s="2">
        <v>6</v>
      </c>
      <c r="G206" s="2">
        <v>39269099</v>
      </c>
      <c r="H206" s="2">
        <v>18</v>
      </c>
      <c r="I206" s="2">
        <v>200</v>
      </c>
      <c r="J206" s="2"/>
    </row>
    <row r="207" spans="1:10" x14ac:dyDescent="0.45">
      <c r="A207" s="2"/>
      <c r="B207" s="2" t="s">
        <v>195</v>
      </c>
      <c r="C207" s="8" t="s">
        <v>23</v>
      </c>
      <c r="D207" s="8" t="s">
        <v>156</v>
      </c>
      <c r="E207" s="2"/>
      <c r="F207" s="2">
        <v>19.75</v>
      </c>
      <c r="G207" s="2">
        <v>96071910</v>
      </c>
      <c r="H207" s="2">
        <v>5</v>
      </c>
      <c r="I207" s="2">
        <v>400</v>
      </c>
      <c r="J207" s="2"/>
    </row>
    <row r="208" spans="1:10" x14ac:dyDescent="0.45">
      <c r="A208" s="2"/>
      <c r="B208" s="2" t="s">
        <v>195</v>
      </c>
      <c r="C208" s="8" t="s">
        <v>23</v>
      </c>
      <c r="D208" s="8" t="s">
        <v>157</v>
      </c>
      <c r="E208" s="2"/>
      <c r="F208" s="2">
        <v>40</v>
      </c>
      <c r="G208" s="2">
        <v>540710</v>
      </c>
      <c r="H208" s="2">
        <v>5</v>
      </c>
      <c r="I208" s="2">
        <v>6573</v>
      </c>
      <c r="J208" s="2"/>
    </row>
    <row r="209" spans="1:10" x14ac:dyDescent="0.45">
      <c r="A209" s="2"/>
      <c r="B209" s="2" t="s">
        <v>195</v>
      </c>
      <c r="C209" s="8" t="s">
        <v>23</v>
      </c>
      <c r="D209" s="8" t="s">
        <v>158</v>
      </c>
      <c r="E209" s="2"/>
      <c r="F209" s="2">
        <v>520</v>
      </c>
      <c r="G209" s="2">
        <v>96071910</v>
      </c>
      <c r="H209" s="2">
        <v>5</v>
      </c>
      <c r="I209" s="2">
        <v>14</v>
      </c>
      <c r="J209" s="2"/>
    </row>
    <row r="210" spans="1:10" x14ac:dyDescent="0.45">
      <c r="A210" s="2"/>
      <c r="B210" s="2" t="s">
        <v>195</v>
      </c>
      <c r="C210" s="8" t="s">
        <v>23</v>
      </c>
      <c r="D210" s="8" t="s">
        <v>159</v>
      </c>
      <c r="E210" s="2"/>
      <c r="F210" s="2">
        <v>380</v>
      </c>
      <c r="G210" s="2">
        <v>96071910</v>
      </c>
      <c r="H210" s="2">
        <v>5</v>
      </c>
      <c r="I210" s="2">
        <v>65</v>
      </c>
      <c r="J210" s="2"/>
    </row>
    <row r="211" spans="1:10" x14ac:dyDescent="0.45">
      <c r="A211" s="2"/>
      <c r="B211" s="2" t="s">
        <v>195</v>
      </c>
      <c r="C211" s="8" t="s">
        <v>23</v>
      </c>
      <c r="D211" s="8" t="s">
        <v>160</v>
      </c>
      <c r="E211" s="2"/>
      <c r="F211" s="2">
        <v>500</v>
      </c>
      <c r="G211" s="2">
        <v>96072000</v>
      </c>
      <c r="H211" s="2">
        <v>5</v>
      </c>
      <c r="I211" s="2">
        <v>20</v>
      </c>
      <c r="J211" s="2"/>
    </row>
    <row r="212" spans="1:10" x14ac:dyDescent="0.45">
      <c r="A212" s="2"/>
      <c r="B212" s="2" t="s">
        <v>195</v>
      </c>
      <c r="C212" s="8" t="s">
        <v>25</v>
      </c>
      <c r="D212" s="8" t="s">
        <v>166</v>
      </c>
      <c r="E212" s="2"/>
      <c r="F212" s="8">
        <v>500</v>
      </c>
      <c r="G212" s="2">
        <v>96071910</v>
      </c>
      <c r="H212" s="2">
        <v>5</v>
      </c>
      <c r="I212" s="2">
        <v>17</v>
      </c>
      <c r="J212" s="2"/>
    </row>
    <row r="213" spans="1:10" x14ac:dyDescent="0.45">
      <c r="A213" s="2"/>
      <c r="B213" s="2" t="s">
        <v>195</v>
      </c>
      <c r="C213" s="8" t="s">
        <v>25</v>
      </c>
      <c r="D213" s="8" t="s">
        <v>167</v>
      </c>
      <c r="E213" s="2"/>
      <c r="F213" s="8">
        <v>500</v>
      </c>
      <c r="G213" s="2">
        <v>96071910</v>
      </c>
      <c r="H213" s="2">
        <v>5</v>
      </c>
      <c r="I213" s="2">
        <v>5</v>
      </c>
      <c r="J213" s="2"/>
    </row>
    <row r="214" spans="1:10" x14ac:dyDescent="0.45">
      <c r="A214" s="2"/>
      <c r="B214" s="2" t="s">
        <v>195</v>
      </c>
      <c r="C214" s="8" t="s">
        <v>25</v>
      </c>
      <c r="D214" s="8" t="s">
        <v>168</v>
      </c>
      <c r="E214" s="2"/>
      <c r="F214" s="8">
        <v>500</v>
      </c>
      <c r="G214" s="2">
        <v>96071910</v>
      </c>
      <c r="H214" s="2">
        <v>5</v>
      </c>
      <c r="I214" s="2">
        <v>10</v>
      </c>
      <c r="J214" s="2"/>
    </row>
    <row r="215" spans="1:10" x14ac:dyDescent="0.45">
      <c r="A215" s="2"/>
      <c r="B215" s="2" t="s">
        <v>195</v>
      </c>
      <c r="C215" s="8" t="s">
        <v>25</v>
      </c>
      <c r="D215" s="8" t="s">
        <v>169</v>
      </c>
      <c r="E215" s="2"/>
      <c r="F215" s="8">
        <v>500</v>
      </c>
      <c r="G215" s="2">
        <v>96071910</v>
      </c>
      <c r="H215" s="2">
        <v>5</v>
      </c>
      <c r="I215" s="2">
        <v>2</v>
      </c>
      <c r="J215" s="2"/>
    </row>
    <row r="216" spans="1:10" x14ac:dyDescent="0.45">
      <c r="A216" s="2"/>
      <c r="B216" s="2" t="s">
        <v>195</v>
      </c>
      <c r="C216" s="8" t="s">
        <v>25</v>
      </c>
      <c r="D216" s="8" t="s">
        <v>170</v>
      </c>
      <c r="E216" s="2"/>
      <c r="F216" s="8">
        <v>500</v>
      </c>
      <c r="G216" s="2">
        <v>96071910</v>
      </c>
      <c r="H216" s="2">
        <v>5</v>
      </c>
      <c r="I216" s="2">
        <v>1</v>
      </c>
      <c r="J216" s="2"/>
    </row>
    <row r="217" spans="1:10" x14ac:dyDescent="0.45">
      <c r="A217" s="2"/>
      <c r="B217" s="2" t="s">
        <v>195</v>
      </c>
      <c r="C217" s="8" t="s">
        <v>25</v>
      </c>
      <c r="D217" s="8" t="s">
        <v>171</v>
      </c>
      <c r="E217" s="2"/>
      <c r="F217" s="8">
        <v>500</v>
      </c>
      <c r="G217" s="2">
        <v>96071910</v>
      </c>
      <c r="H217" s="2">
        <v>5</v>
      </c>
      <c r="I217" s="2">
        <v>1</v>
      </c>
      <c r="J217" s="2"/>
    </row>
    <row r="218" spans="1:10" x14ac:dyDescent="0.45">
      <c r="A218" s="2"/>
      <c r="B218" s="2" t="s">
        <v>195</v>
      </c>
      <c r="C218" s="8" t="s">
        <v>25</v>
      </c>
      <c r="D218" s="8" t="s">
        <v>172</v>
      </c>
      <c r="E218" s="2"/>
      <c r="F218" s="8">
        <v>500</v>
      </c>
      <c r="G218" s="2">
        <v>96071910</v>
      </c>
      <c r="H218" s="2">
        <v>5</v>
      </c>
      <c r="I218" s="2">
        <v>13</v>
      </c>
      <c r="J218" s="2"/>
    </row>
    <row r="219" spans="1:10" x14ac:dyDescent="0.45">
      <c r="A219" s="2"/>
      <c r="B219" s="2" t="s">
        <v>195</v>
      </c>
      <c r="C219" s="8" t="s">
        <v>25</v>
      </c>
      <c r="D219" s="8" t="s">
        <v>181</v>
      </c>
      <c r="E219" s="2"/>
      <c r="F219" s="2">
        <v>16.5</v>
      </c>
      <c r="G219" s="2">
        <v>96072000</v>
      </c>
      <c r="H219" s="2">
        <v>5</v>
      </c>
      <c r="I219" s="2">
        <v>0</v>
      </c>
      <c r="J219" s="2"/>
    </row>
  </sheetData>
  <autoFilter ref="A1:J219" xr:uid="{6B73B7C0-7E79-4A30-9AA7-132243357B6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18D3-9EA0-4ED6-ACEF-D61C53EEC1EB}">
  <dimension ref="A1:F419"/>
  <sheetViews>
    <sheetView topLeftCell="A2" workbookViewId="0">
      <selection activeCell="A3" sqref="A3"/>
    </sheetView>
  </sheetViews>
  <sheetFormatPr defaultRowHeight="14.25" x14ac:dyDescent="0.45"/>
  <cols>
    <col min="1" max="1" width="17.265625" customWidth="1"/>
    <col min="2" max="2" width="55.19921875" customWidth="1"/>
    <col min="3" max="3" width="17.796875" customWidth="1"/>
    <col min="5" max="5" width="38.33203125" customWidth="1"/>
  </cols>
  <sheetData>
    <row r="1" spans="1:4" x14ac:dyDescent="0.45">
      <c r="A1" s="1">
        <f ca="1">TODAY()</f>
        <v>46223</v>
      </c>
      <c r="B1" t="s">
        <v>7</v>
      </c>
    </row>
    <row r="2" spans="1:4" x14ac:dyDescent="0.45">
      <c r="A2" s="2" t="str">
        <f>'[1]OUTWARD '!A2</f>
        <v xml:space="preserve">Category </v>
      </c>
      <c r="B2" s="2" t="str">
        <f>'[1]OUTWARD '!B2</f>
        <v>ITEM NAME</v>
      </c>
      <c r="C2" s="2" t="str">
        <f>'[1]OUTWARD '!C2</f>
        <v>QTY</v>
      </c>
      <c r="D2" s="2"/>
    </row>
    <row r="3" spans="1:4" x14ac:dyDescent="0.45">
      <c r="A3" s="2" t="str">
        <f>'[1]OUTWARD '!A3</f>
        <v>NIWAR</v>
      </c>
      <c r="B3" s="2" t="str">
        <f>'[1]OUTWARD '!B3</f>
        <v xml:space="preserve">POLYESTER NIWAR 25 MM </v>
      </c>
      <c r="C3" s="3">
        <f>'[1]INWARD TOTAL'!H3-'[1]OUTWARD '!C3</f>
        <v>0</v>
      </c>
      <c r="D3" s="2" t="s">
        <v>8</v>
      </c>
    </row>
    <row r="4" spans="1:4" x14ac:dyDescent="0.45">
      <c r="A4" s="2" t="str">
        <f>'[1]OUTWARD '!A4</f>
        <v>NIWAR</v>
      </c>
      <c r="B4" s="2" t="str">
        <f>'[1]OUTWARD '!B4</f>
        <v>PP NIWAR</v>
      </c>
      <c r="C4" s="3">
        <f>'[1]INWARD TOTAL'!H4-'[1]OUTWARD '!C4</f>
        <v>0</v>
      </c>
      <c r="D4" s="2"/>
    </row>
    <row r="5" spans="1:4" x14ac:dyDescent="0.45">
      <c r="A5" s="4" t="str">
        <f>'[1]OUTWARD '!A5</f>
        <v>Thread</v>
      </c>
      <c r="B5" s="4" t="str">
        <f>'[1]OUTWARD '!B5</f>
        <v>2ply-3000mtr-Black/Z/Y8961/N150</v>
      </c>
      <c r="C5" s="5">
        <f>'[1]INWARD TOTAL'!H5-'[1]OUTWARD '!C5</f>
        <v>0</v>
      </c>
      <c r="D5" s="2"/>
    </row>
    <row r="6" spans="1:4" x14ac:dyDescent="0.45">
      <c r="A6" s="4" t="str">
        <f>'[1]OUTWARD '!A6</f>
        <v>Thread</v>
      </c>
      <c r="B6" s="4" t="str">
        <f>'[1]OUTWARD '!B6</f>
        <v>3ply-1000mtr-Black/Z/Y8360/N125</v>
      </c>
      <c r="C6" s="5">
        <f>'[1]INWARD TOTAL'!H6-'[1]OUTWARD '!C6</f>
        <v>0</v>
      </c>
      <c r="D6" s="2"/>
    </row>
    <row r="7" spans="1:4" x14ac:dyDescent="0.45">
      <c r="A7" s="2" t="str">
        <f>'[1]OUTWARD '!A7</f>
        <v>Fabric</v>
      </c>
      <c r="B7" s="2" t="str">
        <f>'[1]OUTWARD '!B7</f>
        <v>420 D NYLON BLACK PU COATED</v>
      </c>
      <c r="C7" s="6">
        <f>'[1]INWARD TOTAL'!H7-'[1]OUTWARD '!C7</f>
        <v>5</v>
      </c>
      <c r="D7" s="2"/>
    </row>
    <row r="8" spans="1:4" x14ac:dyDescent="0.45">
      <c r="A8" s="2" t="str">
        <f>'[1]OUTWARD '!A8</f>
        <v xml:space="preserve">Plastic Accessory </v>
      </c>
      <c r="B8" s="2" t="str">
        <f>'[1]OUTWARD '!B8</f>
        <v>9 Line Pad</v>
      </c>
      <c r="C8" s="6">
        <f>'[1]INWARD TOTAL'!H8-'[1]OUTWARD '!C8</f>
        <v>240</v>
      </c>
      <c r="D8" s="2"/>
    </row>
    <row r="9" spans="1:4" x14ac:dyDescent="0.45">
      <c r="A9" s="2" t="str">
        <f>'[1]OUTWARD '!A9</f>
        <v xml:space="preserve">Stationary </v>
      </c>
      <c r="B9" s="2" t="str">
        <f>'[1]OUTWARD '!B9</f>
        <v>A/4 Sticker Label (White)</v>
      </c>
      <c r="C9" s="6">
        <f>'[1]INWARD TOTAL'!H9-'[1]OUTWARD '!C9</f>
        <v>17</v>
      </c>
      <c r="D9" s="2"/>
    </row>
    <row r="10" spans="1:4" x14ac:dyDescent="0.45">
      <c r="A10" s="2" t="str">
        <f>'[1]OUTWARD '!A10</f>
        <v xml:space="preserve">Plastic Accessory </v>
      </c>
      <c r="B10" s="2" t="str">
        <f>'[1]OUTWARD '!B10</f>
        <v>ADJUSTER BUCKLE _20mm</v>
      </c>
      <c r="C10" s="6">
        <f>'[1]INWARD TOTAL'!H10-'[1]OUTWARD '!C10</f>
        <v>194</v>
      </c>
      <c r="D10" s="2"/>
    </row>
    <row r="11" spans="1:4" x14ac:dyDescent="0.45">
      <c r="A11" s="2" t="str">
        <f>'[1]OUTWARD '!A11</f>
        <v>Fabric</v>
      </c>
      <c r="B11" s="2" t="str">
        <f>'[1]OUTWARD '!B11</f>
        <v>Airmesh_60"x65mtr_120GSM_Black</v>
      </c>
      <c r="C11" s="6">
        <f>'[1]INWARD TOTAL'!H11-'[1]OUTWARD '!C11</f>
        <v>6928</v>
      </c>
      <c r="D11" s="2"/>
    </row>
    <row r="12" spans="1:4" x14ac:dyDescent="0.45">
      <c r="A12" s="2" t="str">
        <f>'[1]OUTWARD '!A12</f>
        <v>Metal Accessory</v>
      </c>
      <c r="B12" s="2" t="str">
        <f>'[1]OUTWARD '!B12</f>
        <v>ALUMINIUM EXTRUDED PROFILE</v>
      </c>
      <c r="C12" s="6">
        <f>'[1]INWARD TOTAL'!H12-'[1]OUTWARD '!C12</f>
        <v>8</v>
      </c>
      <c r="D12" s="2"/>
    </row>
    <row r="13" spans="1:4" x14ac:dyDescent="0.45">
      <c r="A13" s="2" t="str">
        <f>'[1]OUTWARD '!A13</f>
        <v>Metal Accessory</v>
      </c>
      <c r="B13" s="2" t="str">
        <f>'[1]OUTWARD '!B13</f>
        <v>Aluminium Pipe Trolley Orgin</v>
      </c>
      <c r="C13" s="6">
        <f>'[1]INWARD TOTAL'!H13-'[1]OUTWARD '!C13</f>
        <v>10</v>
      </c>
      <c r="D13" s="2"/>
    </row>
    <row r="14" spans="1:4" x14ac:dyDescent="0.45">
      <c r="A14" s="2" t="str">
        <f>'[1]OUTWARD '!A14</f>
        <v>Fabric</v>
      </c>
      <c r="B14" s="2" t="str">
        <f>'[1]OUTWARD '!B14</f>
        <v>BOPP DHPE/PP WOVEN LAM FABRIC</v>
      </c>
      <c r="C14" s="6">
        <f>'[1]INWARD TOTAL'!H14-'[1]OUTWARD '!C14</f>
        <v>25</v>
      </c>
      <c r="D14" s="2"/>
    </row>
    <row r="15" spans="1:4" x14ac:dyDescent="0.45">
      <c r="A15" s="2" t="str">
        <f>'[1]OUTWARD '!A15</f>
        <v xml:space="preserve">Plastic Accessory </v>
      </c>
      <c r="B15" s="2" t="str">
        <f>'[1]OUTWARD '!B15</f>
        <v>Bottom Stud-75mm</v>
      </c>
      <c r="C15" s="6">
        <f>'[1]INWARD TOTAL'!H15-'[1]OUTWARD '!C15</f>
        <v>118</v>
      </c>
      <c r="D15" s="2"/>
    </row>
    <row r="16" spans="1:4" x14ac:dyDescent="0.45">
      <c r="A16" s="2" t="str">
        <f>'[1]OUTWARD '!A16</f>
        <v xml:space="preserve">Plastic Accessory </v>
      </c>
      <c r="B16" s="2" t="str">
        <f>'[1]OUTWARD '!B16</f>
        <v>Bottom Stud-Oval FCL_58mm</v>
      </c>
      <c r="C16" s="6">
        <f>'[1]INWARD TOTAL'!H16-'[1]OUTWARD '!C16</f>
        <v>-18</v>
      </c>
      <c r="D16" s="2"/>
    </row>
    <row r="17" spans="1:4" x14ac:dyDescent="0.45">
      <c r="A17" s="2" t="str">
        <f>'[1]OUTWARD '!A17</f>
        <v xml:space="preserve">Plastic Accessory </v>
      </c>
      <c r="B17" s="2" t="str">
        <f>'[1]OUTWARD '!B17</f>
        <v>Bottom Stud Small_Black</v>
      </c>
      <c r="C17" s="6">
        <f>'[1]INWARD TOTAL'!H17-'[1]OUTWARD '!C17</f>
        <v>1000</v>
      </c>
      <c r="D17" s="2"/>
    </row>
    <row r="18" spans="1:4" x14ac:dyDescent="0.45">
      <c r="A18" s="2" t="str">
        <f>'[1]OUTWARD '!A18</f>
        <v xml:space="preserve">Hard Sheets </v>
      </c>
      <c r="B18" s="2" t="str">
        <f>'[1]OUTWARD '!B18</f>
        <v>Bubble Guard_1300mm*2000mm_1200GSM_Blue</v>
      </c>
      <c r="C18" s="6">
        <f>'[1]INWARD TOTAL'!H18-'[1]OUTWARD '!C18</f>
        <v>106</v>
      </c>
      <c r="D18" s="2"/>
    </row>
    <row r="19" spans="1:4" x14ac:dyDescent="0.45">
      <c r="A19" s="2" t="str">
        <f>'[1]OUTWARD '!A19</f>
        <v>Fabric</v>
      </c>
      <c r="B19" s="2" t="str">
        <f>'[1]OUTWARD '!B19</f>
        <v>CF_58"x50mtr_PVC Cherry Cord_6x2_ 400GSM_Black-5%</v>
      </c>
      <c r="C19" s="6">
        <f>'[1]INWARD TOTAL'!H19-'[1]OUTWARD '!C19</f>
        <v>6.8340000000000032</v>
      </c>
      <c r="D19" s="2"/>
    </row>
    <row r="20" spans="1:4" x14ac:dyDescent="0.45">
      <c r="A20" s="2" t="str">
        <f>'[1]OUTWARD '!A20</f>
        <v>Fabric</v>
      </c>
      <c r="B20" s="2" t="str">
        <f>'[1]OUTWARD '!B20</f>
        <v>CF_58"x50mtr_PVC Cherry Cord_6x2_400GSM_Navyblue-5%</v>
      </c>
      <c r="C20" s="6">
        <f>'[1]INWARD TOTAL'!H20-'[1]OUTWARD '!C20</f>
        <v>450</v>
      </c>
      <c r="D20" s="2"/>
    </row>
    <row r="21" spans="1:4" x14ac:dyDescent="0.45">
      <c r="A21" s="2" t="str">
        <f>'[1]OUTWARD '!A21</f>
        <v>Fabric</v>
      </c>
      <c r="B21" s="2" t="str">
        <f>'[1]OUTWARD '!B21</f>
        <v>CF_58"x50mtr_PVC Cherry Cord_6x2_ 400GSM_RED+WR- 5%</v>
      </c>
      <c r="C21" s="6">
        <f>'[1]INWARD TOTAL'!H21-'[1]OUTWARD '!C21</f>
        <v>0</v>
      </c>
      <c r="D21" s="2"/>
    </row>
    <row r="22" spans="1:4" x14ac:dyDescent="0.45">
      <c r="A22" s="2" t="str">
        <f>'[1]OUTWARD '!A22</f>
        <v>Fabric</v>
      </c>
      <c r="B22" s="2" t="str">
        <f>'[1]OUTWARD '!B22</f>
        <v>CF_60" 24No Cord_PU Coated_Black</v>
      </c>
      <c r="C22" s="6">
        <f>'[1]INWARD TOTAL'!H22-'[1]OUTWARD '!C22</f>
        <v>0</v>
      </c>
      <c r="D22" s="2"/>
    </row>
    <row r="23" spans="1:4" x14ac:dyDescent="0.45">
      <c r="A23" s="2" t="str">
        <f>'[1]OUTWARD '!A23</f>
        <v xml:space="preserve">Plastic Accessory </v>
      </c>
      <c r="B23" s="2" t="str">
        <f>'[1]OUTWARD '!B23</f>
        <v>Cord Lock-Oval</v>
      </c>
      <c r="C23" s="6">
        <f>'[1]INWARD TOTAL'!H23-'[1]OUTWARD '!C23</f>
        <v>557</v>
      </c>
      <c r="D23" s="2"/>
    </row>
    <row r="24" spans="1:4" x14ac:dyDescent="0.45">
      <c r="A24" s="2" t="str">
        <f>'[1]OUTWARD '!A24</f>
        <v xml:space="preserve">Plastic Accessory </v>
      </c>
      <c r="B24" s="2" t="str">
        <f>'[1]OUTWARD '!B24</f>
        <v>Cord Lock-Round  FCL_Standard</v>
      </c>
      <c r="C24" s="6">
        <f>'[1]INWARD TOTAL'!H24-'[1]OUTWARD '!C24</f>
        <v>866</v>
      </c>
      <c r="D24" s="2"/>
    </row>
    <row r="25" spans="1:4" x14ac:dyDescent="0.45">
      <c r="A25" s="2" t="str">
        <f>'[1]OUTWARD '!A25</f>
        <v xml:space="preserve">Plastic Accessory </v>
      </c>
      <c r="B25" s="2" t="str">
        <f>'[1]OUTWARD '!B25</f>
        <v>Cord Lock-Sleek</v>
      </c>
      <c r="C25" s="6">
        <f>'[1]INWARD TOTAL'!H25-'[1]OUTWARD '!C25</f>
        <v>105</v>
      </c>
      <c r="D25" s="2"/>
    </row>
    <row r="26" spans="1:4" x14ac:dyDescent="0.45">
      <c r="A26" s="2" t="str">
        <f>'[1]OUTWARD '!A26</f>
        <v xml:space="preserve">Plastic Accessory </v>
      </c>
      <c r="B26" s="2" t="str">
        <f>'[1]OUTWARD '!B26</f>
        <v>Cord Lock-Ultra</v>
      </c>
      <c r="C26" s="6">
        <f>'[1]INWARD TOTAL'!H26-'[1]OUTWARD '!C26</f>
        <v>140</v>
      </c>
      <c r="D26" s="2"/>
    </row>
    <row r="27" spans="1:4" x14ac:dyDescent="0.45">
      <c r="A27" s="2" t="str">
        <f>'[1]OUTWARD '!A27</f>
        <v>NIWAR</v>
      </c>
      <c r="B27" s="2" t="str">
        <f>'[1]OUTWARD '!B27</f>
        <v>COTTON NIWAR- 48 mm beige</v>
      </c>
      <c r="C27" s="3">
        <f>'[1]INWARD TOTAL'!H27-'[1]OUTWARD '!C27</f>
        <v>2</v>
      </c>
      <c r="D27" s="2"/>
    </row>
    <row r="28" spans="1:4" x14ac:dyDescent="0.45">
      <c r="A28" s="2" t="str">
        <f>'[1]OUTWARD '!A28</f>
        <v>Tool</v>
      </c>
      <c r="B28" s="2" t="str">
        <f>'[1]OUTWARD '!B28</f>
        <v>Die_13mm_BT5_Plastic Snap Button</v>
      </c>
      <c r="C28" s="6">
        <f>'[1]INWARD TOTAL'!H28-'[1]OUTWARD '!C28</f>
        <v>5</v>
      </c>
      <c r="D28" s="2"/>
    </row>
    <row r="29" spans="1:4" x14ac:dyDescent="0.45">
      <c r="A29" s="2" t="str">
        <f>'[1]OUTWARD '!A29</f>
        <v>Metal Accessory</v>
      </c>
      <c r="B29" s="2" t="str">
        <f>'[1]OUTWARD '!B29</f>
        <v>D Ring "Polo"</v>
      </c>
      <c r="C29" s="6">
        <f>'[1]INWARD TOTAL'!H29-'[1]OUTWARD '!C29</f>
        <v>76</v>
      </c>
      <c r="D29" s="2"/>
    </row>
    <row r="30" spans="1:4" x14ac:dyDescent="0.45">
      <c r="A30" s="2" t="str">
        <f>'[1]OUTWARD '!A30</f>
        <v>Metal Accessory</v>
      </c>
      <c r="B30" s="2" t="str">
        <f>'[1]OUTWARD '!B30</f>
        <v>D_Ring_20mm Black_with Powder Coating_4mm</v>
      </c>
      <c r="C30" s="6">
        <f>'[1]INWARD TOTAL'!H30-'[1]OUTWARD '!C30</f>
        <v>85</v>
      </c>
      <c r="D30" s="2"/>
    </row>
    <row r="31" spans="1:4" x14ac:dyDescent="0.45">
      <c r="A31" s="2" t="str">
        <f>'[1]OUTWARD '!A31</f>
        <v>Metal Accessory</v>
      </c>
      <c r="B31" s="2" t="str">
        <f>'[1]OUTWARD '!B31</f>
        <v>D_Ring_25mm Black_with Powder Coating_4mm-5%</v>
      </c>
      <c r="C31" s="7">
        <f>'[1]INWARD TOTAL'!H31-'[1]OUTWARD '!C31</f>
        <v>36695</v>
      </c>
      <c r="D31" s="2"/>
    </row>
    <row r="32" spans="1:4" x14ac:dyDescent="0.45">
      <c r="A32" s="2" t="str">
        <f>'[1]OUTWARD '!A32</f>
        <v>Foam</v>
      </c>
      <c r="B32" s="2" t="str">
        <f>'[1]OUTWARD '!B32</f>
        <v>EPE Rolls 1400 mm-10_mm-Black</v>
      </c>
      <c r="C32" s="6">
        <f>'[1]INWARD TOTAL'!H32-'[1]OUTWARD '!C32</f>
        <v>23</v>
      </c>
      <c r="D32" s="2"/>
    </row>
    <row r="33" spans="1:4" x14ac:dyDescent="0.45">
      <c r="A33" s="2" t="str">
        <f>'[1]OUTWARD '!A33</f>
        <v>Foam</v>
      </c>
      <c r="B33" s="2" t="str">
        <f>'[1]OUTWARD '!B33</f>
        <v>EPE Rolls 1400 mm-5 mm D/L-NAT</v>
      </c>
      <c r="C33" s="6">
        <f>'[1]INWARD TOTAL'!H33-'[1]OUTWARD '!C33</f>
        <v>39</v>
      </c>
      <c r="D33" s="2"/>
    </row>
    <row r="34" spans="1:4" x14ac:dyDescent="0.45">
      <c r="A34" s="2" t="str">
        <f>'[1]OUTWARD '!A34</f>
        <v>Foam</v>
      </c>
      <c r="B34" s="2" t="str">
        <f>'[1]OUTWARD '!B34</f>
        <v>EPE Rolls 1400 mm-8 mm-Black</v>
      </c>
      <c r="C34" s="6">
        <f>'[1]INWARD TOTAL'!H34-'[1]OUTWARD '!C34</f>
        <v>51</v>
      </c>
      <c r="D34" s="2"/>
    </row>
    <row r="35" spans="1:4" x14ac:dyDescent="0.45">
      <c r="A35" s="2" t="str">
        <f>'[1]OUTWARD '!A35</f>
        <v>Foam</v>
      </c>
      <c r="B35" s="2" t="str">
        <f>'[1]OUTWARD '!B35</f>
        <v>EPE Rolls 1500 mm-3_mm-Black</v>
      </c>
      <c r="C35" s="6">
        <f>'[1]INWARD TOTAL'!H35-'[1]OUTWARD '!C35</f>
        <v>38.5</v>
      </c>
      <c r="D35" s="2"/>
    </row>
    <row r="36" spans="1:4" x14ac:dyDescent="0.45">
      <c r="A36" s="2" t="str">
        <f>'[1]OUTWARD '!A36</f>
        <v xml:space="preserve">Plastic Accessory </v>
      </c>
      <c r="B36" s="8" t="str">
        <f>'[1]OUTWARD '!B36</f>
        <v>EP X P BRADING</v>
      </c>
      <c r="C36" s="3">
        <f>'[1]INWARD TOTAL'!H36-'[1]OUTWARD '!C36</f>
        <v>376.3</v>
      </c>
      <c r="D36" s="2"/>
    </row>
    <row r="37" spans="1:4" x14ac:dyDescent="0.45">
      <c r="A37" s="2" t="str">
        <f>'[1]OUTWARD '!A37</f>
        <v xml:space="preserve">Plastic Accessory </v>
      </c>
      <c r="B37" s="2" t="str">
        <f>'[1]OUTWARD '!B37</f>
        <v>EP X PP SHEET</v>
      </c>
      <c r="C37" s="6">
        <f>'[1]INWARD TOTAL'!H37-'[1]OUTWARD '!C37</f>
        <v>100</v>
      </c>
      <c r="D37" s="2"/>
    </row>
    <row r="38" spans="1:4" x14ac:dyDescent="0.45">
      <c r="A38" s="2" t="str">
        <f>'[1]OUTWARD '!A38</f>
        <v>Foam</v>
      </c>
      <c r="B38" s="2" t="str">
        <f>'[1]OUTWARD '!B38</f>
        <v>EVA- Foam</v>
      </c>
      <c r="C38" s="6">
        <f>'[1]INWARD TOTAL'!H38-'[1]OUTWARD '!C38</f>
        <v>420</v>
      </c>
      <c r="D38" s="2"/>
    </row>
    <row r="39" spans="1:4" x14ac:dyDescent="0.45">
      <c r="A39" s="2" t="str">
        <f>'[1]OUTWARD '!A39</f>
        <v>Metal Accessory</v>
      </c>
      <c r="B39" s="2" t="str">
        <f>'[1]OUTWARD '!B39</f>
        <v>Expandeble Trolley</v>
      </c>
      <c r="C39" s="6">
        <f>'[1]INWARD TOTAL'!H39-'[1]OUTWARD '!C39</f>
        <v>10</v>
      </c>
      <c r="D39" s="2"/>
    </row>
    <row r="40" spans="1:4" x14ac:dyDescent="0.45">
      <c r="A40" s="2" t="str">
        <f>'[1]OUTWARD '!A40</f>
        <v>Fabric</v>
      </c>
      <c r="B40" s="2" t="str">
        <f>'[1]OUTWARD '!B40</f>
        <v>GUCCHI MATTY COATED_BLACK_59031010</v>
      </c>
      <c r="C40" s="6">
        <f>'[1]INWARD TOTAL'!H40-'[1]OUTWARD '!C40</f>
        <v>10</v>
      </c>
      <c r="D40" s="2"/>
    </row>
    <row r="41" spans="1:4" x14ac:dyDescent="0.45">
      <c r="A41" s="2" t="str">
        <f>'[1]OUTWARD '!A41</f>
        <v>Fabric</v>
      </c>
      <c r="B41" s="2" t="str">
        <f>'[1]OUTWARD '!B41</f>
        <v>GUCCHI MATTY_BLACK_54071019</v>
      </c>
      <c r="C41" s="6">
        <f>'[1]INWARD TOTAL'!H41-'[1]OUTWARD '!C41</f>
        <v>10</v>
      </c>
      <c r="D41" s="2"/>
    </row>
    <row r="42" spans="1:4" x14ac:dyDescent="0.45">
      <c r="A42" s="2" t="str">
        <f>'[1]OUTWARD '!A42</f>
        <v xml:space="preserve">Plastic Accessory </v>
      </c>
      <c r="B42" s="2" t="str">
        <f>'[1]OUTWARD '!B42</f>
        <v>Hand Puller</v>
      </c>
      <c r="C42" s="6">
        <f>'[1]INWARD TOTAL'!H42-'[1]OUTWARD '!C42</f>
        <v>115</v>
      </c>
      <c r="D42" s="2"/>
    </row>
    <row r="43" spans="1:4" x14ac:dyDescent="0.45">
      <c r="A43" s="2" t="str">
        <f>'[1]OUTWARD '!A43</f>
        <v>Fabric</v>
      </c>
      <c r="B43" s="2" t="str">
        <f>'[1]OUTWARD '!B43</f>
        <v>Heat Insulation Sheet- (SQM)</v>
      </c>
      <c r="C43" s="6">
        <f>'[1]INWARD TOTAL'!H43-'[1]OUTWARD '!C43</f>
        <v>200</v>
      </c>
      <c r="D43" s="2"/>
    </row>
    <row r="44" spans="1:4" x14ac:dyDescent="0.45">
      <c r="A44" s="2" t="str">
        <f>'[1]OUTWARD '!A44</f>
        <v xml:space="preserve">Plastic Accessory </v>
      </c>
      <c r="B44" s="2" t="str">
        <f>'[1]OUTWARD '!B44</f>
        <v>Hook-Type 1_FF006</v>
      </c>
      <c r="C44" s="6">
        <f>'[1]INWARD TOTAL'!H44-'[1]OUTWARD '!C44</f>
        <v>163</v>
      </c>
      <c r="D44" s="2"/>
    </row>
    <row r="45" spans="1:4" x14ac:dyDescent="0.45">
      <c r="A45" s="2" t="str">
        <f>'[1]OUTWARD '!A45</f>
        <v xml:space="preserve">Elastic </v>
      </c>
      <c r="B45" s="2" t="str">
        <f>'[1]OUTWARD '!B45</f>
        <v>Knitted Elastic -10 mm White</v>
      </c>
      <c r="C45" s="6">
        <f>'[1]INWARD TOTAL'!H45-'[1]OUTWARD '!C45</f>
        <v>45</v>
      </c>
      <c r="D45" s="2"/>
    </row>
    <row r="46" spans="1:4" x14ac:dyDescent="0.45">
      <c r="A46" s="2" t="str">
        <f>'[1]OUTWARD '!A46</f>
        <v xml:space="preserve">Elastic </v>
      </c>
      <c r="B46" s="2" t="str">
        <f>'[1]OUTWARD '!B46</f>
        <v>Knitted Elastic -15 mm Black</v>
      </c>
      <c r="C46" s="6">
        <f>'[1]INWARD TOTAL'!H46-'[1]OUTWARD '!C46</f>
        <v>30</v>
      </c>
      <c r="D46" s="2"/>
    </row>
    <row r="47" spans="1:4" x14ac:dyDescent="0.45">
      <c r="A47" s="2" t="str">
        <f>'[1]OUTWARD '!A47</f>
        <v xml:space="preserve">Elastic </v>
      </c>
      <c r="B47" s="2" t="str">
        <f>'[1]OUTWARD '!B47</f>
        <v>Knitted Elastic -15 mm Grey</v>
      </c>
      <c r="C47" s="6">
        <f>'[1]INWARD TOTAL'!H47-'[1]OUTWARD '!C47</f>
        <v>10</v>
      </c>
      <c r="D47" s="2"/>
    </row>
    <row r="48" spans="1:4" x14ac:dyDescent="0.45">
      <c r="A48" s="2" t="str">
        <f>'[1]OUTWARD '!A48</f>
        <v xml:space="preserve">Elastic </v>
      </c>
      <c r="B48" s="2" t="str">
        <f>'[1]OUTWARD '!B48</f>
        <v>Knitted Elastic -20 mm Black</v>
      </c>
      <c r="C48" s="6">
        <f>'[1]INWARD TOTAL'!H48-'[1]OUTWARD '!C48</f>
        <v>10</v>
      </c>
      <c r="D48" s="2"/>
    </row>
    <row r="49" spans="1:4" x14ac:dyDescent="0.45">
      <c r="A49" s="2" t="str">
        <f>'[1]OUTWARD '!A49</f>
        <v xml:space="preserve">Elastic </v>
      </c>
      <c r="B49" s="2" t="str">
        <f>'[1]OUTWARD '!B49</f>
        <v>Knitted Elastic -25 mm Black</v>
      </c>
      <c r="C49" s="3">
        <f>'[1]INWARD TOTAL'!H49-'[1]OUTWARD '!C49</f>
        <v>24450</v>
      </c>
      <c r="D49" s="2"/>
    </row>
    <row r="50" spans="1:4" x14ac:dyDescent="0.45">
      <c r="A50" s="2" t="str">
        <f>'[1]OUTWARD '!A50</f>
        <v xml:space="preserve">Elastic </v>
      </c>
      <c r="B50" s="2" t="str">
        <f>'[1]OUTWARD '!B50</f>
        <v>Knitted Elastic -38 mm Red</v>
      </c>
      <c r="C50" s="6">
        <f>'[1]INWARD TOTAL'!H50-'[1]OUTWARD '!C50</f>
        <v>30</v>
      </c>
      <c r="D50" s="2"/>
    </row>
    <row r="51" spans="1:4" x14ac:dyDescent="0.45">
      <c r="A51" s="2" t="str">
        <f>'[1]OUTWARD '!A51</f>
        <v xml:space="preserve">Plastic Accessory </v>
      </c>
      <c r="B51" s="2" t="str">
        <f>'[1]OUTWARD '!B51</f>
        <v>Ladder Lock - Black -38mm - Leo</v>
      </c>
      <c r="C51" s="6">
        <f>'[1]INWARD TOTAL'!H51-'[1]OUTWARD '!C51</f>
        <v>1300</v>
      </c>
      <c r="D51" s="2"/>
    </row>
    <row r="52" spans="1:4" x14ac:dyDescent="0.45">
      <c r="A52" s="2" t="str">
        <f>'[1]OUTWARD '!A52</f>
        <v xml:space="preserve">Plastic Accessory </v>
      </c>
      <c r="B52" s="2" t="str">
        <f>'[1]OUTWARD '!B52</f>
        <v>LADDER LOCK FF</v>
      </c>
      <c r="C52" s="6">
        <f>'[1]INWARD TOTAL'!H52-'[1]OUTWARD '!C52</f>
        <v>616</v>
      </c>
      <c r="D52" s="2"/>
    </row>
    <row r="53" spans="1:4" x14ac:dyDescent="0.45">
      <c r="A53" s="2" t="str">
        <f>'[1]OUTWARD '!A53</f>
        <v xml:space="preserve">Plastic Accessory </v>
      </c>
      <c r="B53" s="2" t="str">
        <f>'[1]OUTWARD '!B53</f>
        <v>LADDER LOCK SF</v>
      </c>
      <c r="C53" s="6">
        <f>'[1]INWARD TOTAL'!H53-'[1]OUTWARD '!C53</f>
        <v>35</v>
      </c>
      <c r="D53" s="2"/>
    </row>
    <row r="54" spans="1:4" x14ac:dyDescent="0.45">
      <c r="A54" s="2" t="str">
        <f>'[1]OUTWARD '!A54</f>
        <v xml:space="preserve">Plastic Accessory </v>
      </c>
      <c r="B54" s="2" t="str">
        <f>'[1]OUTWARD '!B54</f>
        <v>Ladder Lock Virgo-20mm-Black</v>
      </c>
      <c r="C54" s="6">
        <f>'[1]INWARD TOTAL'!H54-'[1]OUTWARD '!C54</f>
        <v>-1894</v>
      </c>
      <c r="D54" s="2"/>
    </row>
    <row r="55" spans="1:4" x14ac:dyDescent="0.45">
      <c r="A55" s="2" t="str">
        <f>'[1]OUTWARD '!A55</f>
        <v xml:space="preserve">Plastic Accessory </v>
      </c>
      <c r="B55" s="2" t="str">
        <f>'[1]OUTWARD '!B55</f>
        <v>Ladder Lock Virgo-25mm-Black</v>
      </c>
      <c r="C55" s="6">
        <f>'[1]INWARD TOTAL'!H55-'[1]OUTWARD '!C55</f>
        <v>32700</v>
      </c>
      <c r="D55" s="2"/>
    </row>
    <row r="56" spans="1:4" x14ac:dyDescent="0.45">
      <c r="A56" s="2" t="str">
        <f>'[1]OUTWARD '!A56</f>
        <v>Foam</v>
      </c>
      <c r="B56" s="2" t="str">
        <f>'[1]OUTWARD '!B56</f>
        <v>Laminated Eva Fabric_5%</v>
      </c>
      <c r="C56" s="6">
        <f>'[1]INWARD TOTAL'!H56-'[1]OUTWARD '!C56</f>
        <v>5</v>
      </c>
      <c r="D56" s="2"/>
    </row>
    <row r="57" spans="1:4" x14ac:dyDescent="0.45">
      <c r="A57" s="2" t="str">
        <f>'[1]OUTWARD '!A57</f>
        <v>Poly</v>
      </c>
      <c r="B57" s="2" t="str">
        <f>'[1]OUTWARD '!B57</f>
        <v>LD_POLY_20 X 24 Inch_160 Gauge</v>
      </c>
      <c r="C57" s="6">
        <f>'[1]INWARD TOTAL'!H57-'[1]OUTWARD '!C57</f>
        <v>175.53299999999999</v>
      </c>
      <c r="D57" s="2"/>
    </row>
    <row r="58" spans="1:4" x14ac:dyDescent="0.45">
      <c r="A58" s="2" t="str">
        <f>'[1]OUTWARD '!A58</f>
        <v>Fabric</v>
      </c>
      <c r="B58" s="2" t="str">
        <f>'[1]OUTWARD '!B58</f>
        <v>LINER BLACK 190T</v>
      </c>
      <c r="C58" s="6">
        <f>'[1]INWARD TOTAL'!H58-'[1]OUTWARD '!C58</f>
        <v>200.20000000000073</v>
      </c>
      <c r="D58" s="2"/>
    </row>
    <row r="59" spans="1:4" x14ac:dyDescent="0.45">
      <c r="A59" s="2" t="str">
        <f>'[1]OUTWARD '!A59</f>
        <v xml:space="preserve">Plastic Accessory </v>
      </c>
      <c r="B59" s="2" t="str">
        <f>'[1]OUTWARD '!B59</f>
        <v>LOOP BUCKLE ADJUSTER_25mm</v>
      </c>
      <c r="C59" s="6">
        <f>'[1]INWARD TOTAL'!H59-'[1]OUTWARD '!C59</f>
        <v>100</v>
      </c>
      <c r="D59" s="2"/>
    </row>
    <row r="60" spans="1:4" x14ac:dyDescent="0.45">
      <c r="A60" s="2" t="str">
        <f>'[1]OUTWARD '!A60</f>
        <v xml:space="preserve">Plastic Accessory </v>
      </c>
      <c r="B60" s="2" t="str">
        <f>'[1]OUTWARD '!B60</f>
        <v>LOOP BUCKLE ADJUSTER_30mm</v>
      </c>
      <c r="C60" s="6">
        <f>'[1]INWARD TOTAL'!H60-'[1]OUTWARD '!C60</f>
        <v>260</v>
      </c>
      <c r="D60" s="2"/>
    </row>
    <row r="61" spans="1:4" x14ac:dyDescent="0.45">
      <c r="A61" s="2" t="str">
        <f>'[1]OUTWARD '!A61</f>
        <v>Fabric</v>
      </c>
      <c r="B61" s="2" t="str">
        <f>'[1]OUTWARD '!B61</f>
        <v xml:space="preserve">Matty 2x2 – with PVC lamination L yellow </v>
      </c>
      <c r="C61" s="6">
        <f>'[1]INWARD TOTAL'!H61-'[1]OUTWARD '!C61</f>
        <v>250</v>
      </c>
      <c r="D61" s="2"/>
    </row>
    <row r="62" spans="1:4" x14ac:dyDescent="0.45">
      <c r="A62" s="2" t="str">
        <f>'[1]OUTWARD '!A62</f>
        <v>Fabric</v>
      </c>
      <c r="B62" s="2" t="str">
        <f>'[1]OUTWARD '!B62</f>
        <v>Matty Apc - 54071019</v>
      </c>
      <c r="C62" s="6">
        <f>'[1]INWARD TOTAL'!H62-'[1]OUTWARD '!C62</f>
        <v>0.1999999999998181</v>
      </c>
      <c r="D62" s="2"/>
    </row>
    <row r="63" spans="1:4" x14ac:dyDescent="0.45">
      <c r="A63" s="2" t="str">
        <f>'[1]OUTWARD '!A63</f>
        <v>NIWAR</v>
      </c>
      <c r="B63" s="2" t="str">
        <f>'[1]OUTWARD '!B63</f>
        <v>Niwar_25mm Black_6gm/mtr BASKET</v>
      </c>
      <c r="C63" s="7">
        <f>'[1]INWARD TOTAL'!H63-'[1]OUTWARD '!C63</f>
        <v>1.8439999999999372</v>
      </c>
      <c r="D63" s="2"/>
    </row>
    <row r="64" spans="1:4" x14ac:dyDescent="0.45">
      <c r="A64" s="2" t="str">
        <f>'[1]OUTWARD '!A64</f>
        <v>NIWAR</v>
      </c>
      <c r="B64" s="9" t="str">
        <f>'[1]OUTWARD '!B64</f>
        <v>Niwar_38mm Black_6gm/mtr</v>
      </c>
      <c r="C64" s="10">
        <f>'[1]INWARD TOTAL'!H64-'[1]OUTWARD '!C64</f>
        <v>158.52000000000001</v>
      </c>
      <c r="D64" s="2"/>
    </row>
    <row r="65" spans="1:4" x14ac:dyDescent="0.45">
      <c r="A65" s="2" t="str">
        <f>'[1]OUTWARD '!A65</f>
        <v>NIWAR</v>
      </c>
      <c r="B65" s="9" t="str">
        <f>'[1]OUTWARD '!B65</f>
        <v>Niwar_38mm Black_9gm/mtr poly</v>
      </c>
      <c r="C65" s="10">
        <f>'[1]INWARD TOTAL'!H65-'[1]OUTWARD '!C65</f>
        <v>213.39800000000002</v>
      </c>
      <c r="D65" s="2"/>
    </row>
    <row r="66" spans="1:4" x14ac:dyDescent="0.45">
      <c r="A66" s="2" t="str">
        <f>'[1]OUTWARD '!A66</f>
        <v>Metal Accessory</v>
      </c>
      <c r="B66" s="2" t="str">
        <f>'[1]OUTWARD '!B66</f>
        <v>No.8 CFC Non Lock D Puller</v>
      </c>
      <c r="C66" s="5">
        <f>'[1]INWARD TOTAL'!H66-'[1]OUTWARD '!C66</f>
        <v>15805</v>
      </c>
      <c r="D66" s="2"/>
    </row>
    <row r="67" spans="1:4" x14ac:dyDescent="0.45">
      <c r="A67" s="2" t="str">
        <f>'[1]OUTWARD '!A67</f>
        <v>Poly</v>
      </c>
      <c r="B67" s="2" t="str">
        <f>'[1]OUTWARD '!B67</f>
        <v>Plane LDPE Poly Bag_31"x40"x240G</v>
      </c>
      <c r="C67" s="6">
        <f>'[1]INWARD TOTAL'!H67-'[1]OUTWARD '!C67</f>
        <v>2250</v>
      </c>
      <c r="D67" s="2"/>
    </row>
    <row r="68" spans="1:4" x14ac:dyDescent="0.45">
      <c r="A68" s="2" t="str">
        <f>'[1]OUTWARD '!A68</f>
        <v xml:space="preserve">Plastic Accessory </v>
      </c>
      <c r="B68" s="2" t="str">
        <f>'[1]OUTWARD '!B68</f>
        <v>POLO HANDLES BLACK</v>
      </c>
      <c r="C68" s="6">
        <f>'[1]INWARD TOTAL'!H68-'[1]OUTWARD '!C68</f>
        <v>5300</v>
      </c>
      <c r="D68" s="2"/>
    </row>
    <row r="69" spans="1:4" ht="1.05" customHeight="1" x14ac:dyDescent="0.45">
      <c r="A69" s="2" t="str">
        <f>'[1]OUTWARD '!A69</f>
        <v xml:space="preserve">Plastic Accessory </v>
      </c>
      <c r="B69" s="2" t="str">
        <f>'[1]OUTWARD '!B69</f>
        <v>POLYCARBONATE SHEET(MULTI WALL)</v>
      </c>
      <c r="C69" s="6">
        <f>'[1]INWARD TOTAL'!H69-'[1]OUTWARD '!C69</f>
        <v>401.45</v>
      </c>
      <c r="D69" s="2"/>
    </row>
    <row r="70" spans="1:4" x14ac:dyDescent="0.45">
      <c r="A70" s="2" t="str">
        <f>'[1]OUTWARD '!A70</f>
        <v>NIWAR</v>
      </c>
      <c r="B70" s="2" t="str">
        <f>'[1]OUTWARD '!B70</f>
        <v xml:space="preserve">niwar - plain piping 4 gram 240 mtr average </v>
      </c>
      <c r="C70" s="7">
        <f>'[1]INWARD TOTAL'!H70-'[1]OUTWARD '!C70</f>
        <v>-290.89999999999964</v>
      </c>
      <c r="D70" s="2"/>
    </row>
    <row r="71" spans="1:4" x14ac:dyDescent="0.45">
      <c r="A71" s="2" t="str">
        <f>'[1]OUTWARD '!A71</f>
        <v xml:space="preserve">Hard Sheets </v>
      </c>
      <c r="B71" s="2" t="str">
        <f>'[1]OUTWARD '!B71</f>
        <v>PP Corrugated Sheet_1220mm*1800mm_700 GSM_4mm_Grey</v>
      </c>
      <c r="C71" s="6">
        <f>'[1]INWARD TOTAL'!H71-'[1]OUTWARD '!C71</f>
        <v>40</v>
      </c>
      <c r="D71" s="2"/>
    </row>
    <row r="72" spans="1:4" x14ac:dyDescent="0.45">
      <c r="A72" s="2" t="str">
        <f>'[1]OUTWARD '!A72</f>
        <v xml:space="preserve">Hard Sheets </v>
      </c>
      <c r="B72" s="2" t="str">
        <f>'[1]OUTWARD '!B72</f>
        <v>PP Corrugated Sheet_356* mm*381mm_900 GSM_5mm_Grey</v>
      </c>
      <c r="C72" s="6">
        <f>'[1]INWARD TOTAL'!H72-'[1]OUTWARD '!C72</f>
        <v>12000</v>
      </c>
      <c r="D72" s="2"/>
    </row>
    <row r="73" spans="1:4" x14ac:dyDescent="0.45">
      <c r="A73" s="2" t="str">
        <f>'[1]OUTWARD '!A73</f>
        <v xml:space="preserve">Hard Sheets </v>
      </c>
      <c r="B73" s="2" t="str">
        <f>'[1]OUTWARD '!B73</f>
        <v>PP Corrugated Sheet_381* mm*369mm_900 GSM_5mm_Grey</v>
      </c>
      <c r="C73" s="6">
        <f>'[1]INWARD TOTAL'!H73-'[1]OUTWARD '!C73</f>
        <v>12000</v>
      </c>
      <c r="D73" s="2"/>
    </row>
    <row r="74" spans="1:4" x14ac:dyDescent="0.45">
      <c r="A74" s="2" t="str">
        <f>'[1]OUTWARD '!A74</f>
        <v>NIWAR</v>
      </c>
      <c r="B74" s="2" t="str">
        <f>'[1]OUTWARD '!B74</f>
        <v>PP NIWAR_10mm_Black</v>
      </c>
      <c r="C74" s="3">
        <f>'[1]INWARD TOTAL'!H74-'[1]OUTWARD '!C74</f>
        <v>-2.0000000000006679E-3</v>
      </c>
      <c r="D74" s="2"/>
    </row>
    <row r="75" spans="1:4" x14ac:dyDescent="0.45">
      <c r="A75" s="2" t="str">
        <f>'[1]OUTWARD '!A75</f>
        <v>NIWAR</v>
      </c>
      <c r="B75" s="2" t="str">
        <f>'[1]OUTWARD '!B75</f>
        <v>PP Niwar_38mm_JLD_40mtr/kg</v>
      </c>
      <c r="C75" s="3">
        <f>'[1]INWARD TOTAL'!H75-'[1]OUTWARD '!C75</f>
        <v>36.795999999999992</v>
      </c>
      <c r="D75" s="2"/>
    </row>
    <row r="76" spans="1:4" x14ac:dyDescent="0.45">
      <c r="A76" s="2" t="str">
        <f>'[1]OUTWARD '!A76</f>
        <v xml:space="preserve">Hard Sheets </v>
      </c>
      <c r="B76" s="2" t="str">
        <f>'[1]OUTWARD '!B76</f>
        <v>Pp Sheet 4 mm 700 Gsm Size L 14.5xW12"</v>
      </c>
      <c r="C76" s="6">
        <f>'[1]INWARD TOTAL'!H76-'[1]OUTWARD '!C76</f>
        <v>5222</v>
      </c>
      <c r="D76" s="2"/>
    </row>
    <row r="77" spans="1:4" x14ac:dyDescent="0.45">
      <c r="A77" s="2" t="str">
        <f>'[1]OUTWARD '!A77</f>
        <v xml:space="preserve">Hard Sheets </v>
      </c>
      <c r="B77" s="2" t="str">
        <f>'[1]OUTWARD '!B77</f>
        <v>Pp Sheet 4 mm 700 Gsm Size L 14 x W11.5"</v>
      </c>
      <c r="C77" s="6">
        <f>'[1]INWARD TOTAL'!H77-'[1]OUTWARD '!C77</f>
        <v>5222</v>
      </c>
      <c r="D77" s="2"/>
    </row>
    <row r="78" spans="1:4" x14ac:dyDescent="0.45">
      <c r="A78" s="2" t="str">
        <f>'[1]OUTWARD '!A78</f>
        <v xml:space="preserve">Hard Sheets </v>
      </c>
      <c r="B78" s="2" t="str">
        <f>'[1]OUTWARD '!B78</f>
        <v>Pp Sheet 4 mm 700 Gsm Size L 18.25"xW14.5"</v>
      </c>
      <c r="C78" s="6">
        <f>'[1]INWARD TOTAL'!H78-'[1]OUTWARD '!C78</f>
        <v>10444</v>
      </c>
      <c r="D78" s="2"/>
    </row>
    <row r="79" spans="1:4" x14ac:dyDescent="0.45">
      <c r="A79" s="2" t="str">
        <f>'[1]OUTWARD '!A79</f>
        <v xml:space="preserve">Hard Sheets </v>
      </c>
      <c r="B79" s="2" t="str">
        <f>'[1]OUTWARD '!B79</f>
        <v>Pp Sheet 4 mm 700 Gsm Size L 18.25"xW5.5"</v>
      </c>
      <c r="C79" s="6">
        <f>'[1]INWARD TOTAL'!H79-'[1]OUTWARD '!C79</f>
        <v>20888</v>
      </c>
      <c r="D79" s="2"/>
    </row>
    <row r="80" spans="1:4" x14ac:dyDescent="0.45">
      <c r="A80" s="2" t="str">
        <f>'[1]OUTWARD '!A80</f>
        <v xml:space="preserve">Hard Sheets </v>
      </c>
      <c r="B80" s="2" t="str">
        <f>'[1]OUTWARD '!B80</f>
        <v>PP Sheet_279.40mm*127mm_Black_Thickness_1.25mm_1200GSM</v>
      </c>
      <c r="C80" s="6">
        <f>'[1]INWARD TOTAL'!H80-'[1]OUTWARD '!C80</f>
        <v>2747</v>
      </c>
      <c r="D80" s="2"/>
    </row>
    <row r="81" spans="1:4" x14ac:dyDescent="0.45">
      <c r="A81" s="2" t="str">
        <f>'[1]OUTWARD '!A81</f>
        <v>Poly</v>
      </c>
      <c r="B81" s="2" t="str">
        <f>'[1]OUTWARD '!B81</f>
        <v>PRINTED POLYTHENE BAGS_12X16X240G MILKY</v>
      </c>
      <c r="C81" s="6">
        <f>'[1]INWARD TOTAL'!H81-'[1]OUTWARD '!C81</f>
        <v>22000</v>
      </c>
      <c r="D81" s="2"/>
    </row>
    <row r="82" spans="1:4" x14ac:dyDescent="0.45">
      <c r="A82" s="2" t="str">
        <f>'[1]OUTWARD '!A82</f>
        <v>Fabric</v>
      </c>
      <c r="B82" s="2" t="str">
        <f>'[1]OUTWARD '!B82</f>
        <v>PU COATED FABRIC_450 x 450 Matty_Purple_Shade -6268</v>
      </c>
      <c r="C82" s="6">
        <f>'[1]INWARD TOTAL'!H82-'[1]OUTWARD '!C82</f>
        <v>320</v>
      </c>
      <c r="D82" s="2"/>
    </row>
    <row r="83" spans="1:4" x14ac:dyDescent="0.45">
      <c r="A83" s="2" t="str">
        <f>'[1]OUTWARD '!A83</f>
        <v>Fabric</v>
      </c>
      <c r="B83" s="2" t="str">
        <f>'[1]OUTWARD '!B83</f>
        <v>PVC SHEETING FILM</v>
      </c>
      <c r="C83" s="6">
        <f>'[1]INWARD TOTAL'!H83-'[1]OUTWARD '!C83</f>
        <v>53.364000000000033</v>
      </c>
      <c r="D83" s="2"/>
    </row>
    <row r="84" spans="1:4" x14ac:dyDescent="0.45">
      <c r="A84" s="2" t="str">
        <f>'[1]OUTWARD '!A84</f>
        <v xml:space="preserve">Hard Sheets </v>
      </c>
      <c r="B84" s="2" t="str">
        <f>'[1]OUTWARD '!B84</f>
        <v>Pvc_1.25"x10"_1010GSM_Black</v>
      </c>
      <c r="C84" s="6">
        <f>'[1]INWARD TOTAL'!H84-'[1]OUTWARD '!C84</f>
        <v>61444</v>
      </c>
      <c r="D84" s="2"/>
    </row>
    <row r="85" spans="1:4" x14ac:dyDescent="0.45">
      <c r="A85" s="2" t="str">
        <f>'[1]OUTWARD '!A85</f>
        <v xml:space="preserve">Hard Sheets </v>
      </c>
      <c r="B85" s="2" t="str">
        <f>'[1]OUTWARD '!B85</f>
        <v>Pvc_1.25"x12.5"_1010GSM_Black</v>
      </c>
      <c r="C85" s="6">
        <f>'[1]INWARD TOTAL'!H85-'[1]OUTWARD '!C85</f>
        <v>83150</v>
      </c>
      <c r="D85" s="2"/>
    </row>
    <row r="86" spans="1:4" x14ac:dyDescent="0.45">
      <c r="A86" s="2" t="str">
        <f>'[1]OUTWARD '!A86</f>
        <v xml:space="preserve">Hard Sheets </v>
      </c>
      <c r="B86" s="2" t="str">
        <f>'[1]OUTWARD '!B86</f>
        <v>Pvc_1.25"x13.5"_1010GSM_Black</v>
      </c>
      <c r="C86" s="6">
        <f>'[1]INWARD TOTAL'!H86-'[1]OUTWARD '!C86</f>
        <v>45878</v>
      </c>
      <c r="D86" s="2"/>
    </row>
    <row r="87" spans="1:4" x14ac:dyDescent="0.45">
      <c r="A87" s="2" t="str">
        <f>'[1]OUTWARD '!A87</f>
        <v xml:space="preserve">Plastic Accessory </v>
      </c>
      <c r="B87" s="2" t="str">
        <f>'[1]OUTWARD '!B87</f>
        <v>Rectangle Buckle - Black - 38mm - Classic</v>
      </c>
      <c r="C87" s="6">
        <f>'[1]INWARD TOTAL'!H87-'[1]OUTWARD '!C87</f>
        <v>3031</v>
      </c>
      <c r="D87" s="2"/>
    </row>
    <row r="88" spans="1:4" x14ac:dyDescent="0.45">
      <c r="A88" s="2" t="str">
        <f>'[1]OUTWARD '!A88</f>
        <v xml:space="preserve">Plastic Accessory </v>
      </c>
      <c r="B88" s="2" t="str">
        <f>'[1]OUTWARD '!B88</f>
        <v>Rectangle Buckle - Black _25mm</v>
      </c>
      <c r="C88" s="6">
        <f>'[1]INWARD TOTAL'!H88-'[1]OUTWARD '!C88</f>
        <v>230</v>
      </c>
      <c r="D88" s="2"/>
    </row>
    <row r="89" spans="1:4" x14ac:dyDescent="0.45">
      <c r="A89" s="2" t="str">
        <f>'[1]OUTWARD '!A89</f>
        <v xml:space="preserve">Plastic Accessory </v>
      </c>
      <c r="B89" s="2" t="str">
        <f>'[1]OUTWARD '!B89</f>
        <v>Rectangle Buckle - Black _50mm</v>
      </c>
      <c r="C89" s="6">
        <f>'[1]INWARD TOTAL'!H89-'[1]OUTWARD '!C89</f>
        <v>617</v>
      </c>
      <c r="D89" s="2"/>
    </row>
    <row r="90" spans="1:4" x14ac:dyDescent="0.45">
      <c r="A90" s="2" t="str">
        <f>'[1]OUTWARD '!A90</f>
        <v xml:space="preserve">Plastic Accessory </v>
      </c>
      <c r="B90" s="2" t="str">
        <f>'[1]OUTWARD '!B90</f>
        <v>Rectangle Buckle - FF_30mm</v>
      </c>
      <c r="C90" s="6">
        <f>'[1]INWARD TOTAL'!H90-'[1]OUTWARD '!C90</f>
        <v>75</v>
      </c>
      <c r="D90" s="2"/>
    </row>
    <row r="91" spans="1:4" x14ac:dyDescent="0.45">
      <c r="A91" s="2" t="str">
        <f>'[1]OUTWARD '!A91</f>
        <v>Fabric</v>
      </c>
      <c r="B91" s="2" t="str">
        <f>'[1]OUTWARD '!B91</f>
        <v>Red Coated Fabrics With Uly_58" Inch coating WR -5%</v>
      </c>
      <c r="C91" s="6">
        <f>'[1]INWARD TOTAL'!H91-'[1]OUTWARD '!C91</f>
        <v>0</v>
      </c>
      <c r="D91" s="2"/>
    </row>
    <row r="92" spans="1:4" x14ac:dyDescent="0.45">
      <c r="A92" s="2" t="str">
        <f>'[1]OUTWARD '!A92</f>
        <v xml:space="preserve">Reflective Tape </v>
      </c>
      <c r="B92" s="2" t="str">
        <f>'[1]OUTWARD '!B92</f>
        <v xml:space="preserve">Reflective Tape-200 mtr </v>
      </c>
      <c r="C92" s="6">
        <f>'[1]INWARD TOTAL'!H92-'[1]OUTWARD '!C92</f>
        <v>733</v>
      </c>
      <c r="D92" s="2"/>
    </row>
    <row r="93" spans="1:4" x14ac:dyDescent="0.45">
      <c r="A93" s="2" t="str">
        <f>'[1]OUTWARD '!A93</f>
        <v xml:space="preserve">Reflective Tape </v>
      </c>
      <c r="B93" s="2" t="str">
        <f>'[1]OUTWARD '!B93</f>
        <v>Reflective Tape_25mm x 90mtr_Grey-5%</v>
      </c>
      <c r="C93" s="6">
        <f>'[1]INWARD TOTAL'!H93-'[1]OUTWARD '!C93</f>
        <v>80.199999999999989</v>
      </c>
      <c r="D93" s="2"/>
    </row>
    <row r="94" spans="1:4" s="11" customFormat="1" x14ac:dyDescent="0.45">
      <c r="A94" s="8" t="str">
        <f>'[1]OUTWARD '!A94</f>
        <v>Metal Accessory</v>
      </c>
      <c r="B94" s="8" t="str">
        <f>'[1]OUTWARD '!B94</f>
        <v>RIVET</v>
      </c>
      <c r="C94" s="3">
        <f>'[1]INWARD TOTAL'!H94-'[1]OUTWARD '!C94</f>
        <v>-3851</v>
      </c>
      <c r="D94" s="8"/>
    </row>
    <row r="95" spans="1:4" x14ac:dyDescent="0.45">
      <c r="A95" s="2" t="str">
        <f>'[1]OUTWARD '!A95</f>
        <v xml:space="preserve">Plastic Accessory </v>
      </c>
      <c r="B95" s="2" t="str">
        <f>'[1]OUTWARD '!B95</f>
        <v>Round Bottom Stud Lug Soft-STD-Black</v>
      </c>
      <c r="C95" s="6">
        <f>'[1]INWARD TOTAL'!H95-'[1]OUTWARD '!C95</f>
        <v>11445</v>
      </c>
      <c r="D95" s="2"/>
    </row>
    <row r="96" spans="1:4" x14ac:dyDescent="0.45">
      <c r="A96" s="2" t="str">
        <f>'[1]OUTWARD '!A96</f>
        <v xml:space="preserve">Plastic Accessory </v>
      </c>
      <c r="B96" s="2" t="str">
        <f>'[1]OUTWARD '!B96</f>
        <v>RUBBER GROMMET PANEL</v>
      </c>
      <c r="C96" s="6">
        <f>'[1]INWARD TOTAL'!H96-'[1]OUTWARD '!C96</f>
        <v>360</v>
      </c>
      <c r="D96" s="2"/>
    </row>
    <row r="97" spans="1:4" x14ac:dyDescent="0.45">
      <c r="A97" s="2" t="str">
        <f>'[1]OUTWARD '!A97</f>
        <v>Metal Accessory</v>
      </c>
      <c r="B97" s="2" t="str">
        <f>'[1]OUTWARD '!B97</f>
        <v>SCREW-19MM</v>
      </c>
      <c r="C97" s="6">
        <f>'[1]INWARD TOTAL'!H97-'[1]OUTWARD '!C97</f>
        <v>800</v>
      </c>
      <c r="D97" s="2"/>
    </row>
    <row r="98" spans="1:4" x14ac:dyDescent="0.45">
      <c r="A98" s="2" t="str">
        <f>'[1]OUTWARD '!A98</f>
        <v xml:space="preserve">Plastic Accessory </v>
      </c>
      <c r="B98" s="2" t="str">
        <f>'[1]OUTWARD '!B98</f>
        <v>SHOLDAR PAD FF-032_38mm</v>
      </c>
      <c r="C98" s="6">
        <f>'[1]INWARD TOTAL'!H98-'[1]OUTWARD '!C98</f>
        <v>340</v>
      </c>
      <c r="D98" s="2"/>
    </row>
    <row r="99" spans="1:4" x14ac:dyDescent="0.45">
      <c r="A99" s="2" t="str">
        <f>'[1]OUTWARD '!A99</f>
        <v xml:space="preserve">Plastic Accessory </v>
      </c>
      <c r="B99" s="2" t="str">
        <f>'[1]OUTWARD '!B99</f>
        <v>SHOLDAR PAD_2inch</v>
      </c>
      <c r="C99" s="6">
        <f>'[1]INWARD TOTAL'!H99-'[1]OUTWARD '!C99</f>
        <v>100</v>
      </c>
      <c r="D99" s="2"/>
    </row>
    <row r="100" spans="1:4" x14ac:dyDescent="0.45">
      <c r="A100" s="2" t="str">
        <f>'[1]OUTWARD '!A100</f>
        <v>Poly</v>
      </c>
      <c r="B100" s="2" t="str">
        <f>'[1]OUTWARD '!B100</f>
        <v>SHRINK WRAP ROLL</v>
      </c>
      <c r="C100" s="6">
        <f>'[1]INWARD TOTAL'!H100-'[1]OUTWARD '!C100</f>
        <v>10</v>
      </c>
      <c r="D100" s="2"/>
    </row>
    <row r="101" spans="1:4" x14ac:dyDescent="0.45">
      <c r="A101" s="2" t="str">
        <f>'[1]OUTWARD '!A101</f>
        <v>Metal Accessory</v>
      </c>
      <c r="B101" s="2" t="str">
        <f>'[1]OUTWARD '!B101</f>
        <v>Side Button Trolley</v>
      </c>
      <c r="C101" s="6">
        <f>'[1]INWARD TOTAL'!H101-'[1]OUTWARD '!C101</f>
        <v>10</v>
      </c>
      <c r="D101" s="2"/>
    </row>
    <row r="102" spans="1:4" x14ac:dyDescent="0.45">
      <c r="A102" s="2" t="str">
        <f>'[1]OUTWARD '!A102</f>
        <v>Metal Accessory</v>
      </c>
      <c r="B102" s="2" t="str">
        <f>'[1]OUTWARD '!B102</f>
        <v>Slider#08_F87988SUN 580</v>
      </c>
      <c r="C102" s="10">
        <f>'[1]INWARD TOTAL'!H102-'[1]OUTWARD '!C102</f>
        <v>750</v>
      </c>
      <c r="D102" s="2"/>
    </row>
    <row r="103" spans="1:4" x14ac:dyDescent="0.45">
      <c r="A103" s="2" t="str">
        <f>'[1]OUTWARD '!A103</f>
        <v>Metal Accessory</v>
      </c>
      <c r="B103" s="2" t="str">
        <f>'[1]OUTWARD '!B103</f>
        <v>Slider #10 No._CX7989SUN_580_Black-5%</v>
      </c>
      <c r="C103" s="6">
        <f>'[1]INWARD TOTAL'!H103-'[1]OUTWARD '!C103</f>
        <v>2596</v>
      </c>
      <c r="D103" s="2"/>
    </row>
    <row r="104" spans="1:4" s="11" customFormat="1" x14ac:dyDescent="0.45">
      <c r="A104" s="8" t="str">
        <f>'[1]OUTWARD '!A104</f>
        <v>Metal Accessory</v>
      </c>
      <c r="B104" s="8" t="str">
        <f>'[1]OUTWARD '!B104</f>
        <v>Slider #8 No._C87988SUN_580_Black- 5%</v>
      </c>
      <c r="C104" s="3">
        <f>'[1]INWARD TOTAL'!H104-'[1]OUTWARD '!C104</f>
        <v>0</v>
      </c>
      <c r="D104" s="8"/>
    </row>
    <row r="105" spans="1:4" x14ac:dyDescent="0.45">
      <c r="A105" s="2" t="str">
        <f>'[1]OUTWARD '!A105</f>
        <v>Metal Accessory</v>
      </c>
      <c r="B105" s="2" t="str">
        <f>'[1]OUTWARD '!B105</f>
        <v>Slider_#8 No.C819RCECOLONG-60GM-PCT-01-5%</v>
      </c>
      <c r="C105" s="7">
        <f>'[1]INWARD TOTAL'!H105-'[1]OUTWARD '!C105</f>
        <v>112460</v>
      </c>
      <c r="D105" s="2"/>
    </row>
    <row r="106" spans="1:4" x14ac:dyDescent="0.45">
      <c r="A106" s="2" t="str">
        <f>'[1]OUTWARD '!A106</f>
        <v xml:space="preserve">Plastic Accessory </v>
      </c>
      <c r="B106" s="2" t="str">
        <f>'[1]OUTWARD '!B106</f>
        <v>Square Buckle - Black - 20mm</v>
      </c>
      <c r="C106" s="6">
        <f>'[1]INWARD TOTAL'!H106-'[1]OUTWARD '!C106</f>
        <v>224</v>
      </c>
      <c r="D106" s="2"/>
    </row>
    <row r="107" spans="1:4" x14ac:dyDescent="0.45">
      <c r="A107" s="2" t="str">
        <f>'[1]OUTWARD '!A107</f>
        <v xml:space="preserve">Plastic Accessory </v>
      </c>
      <c r="B107" s="2" t="str">
        <f>'[1]OUTWARD '!B107</f>
        <v>Square Buckle - Black - 25mm</v>
      </c>
      <c r="C107" s="6">
        <f>'[1]INWARD TOTAL'!H107-'[1]OUTWARD '!C107</f>
        <v>-2050</v>
      </c>
      <c r="D107" s="2"/>
    </row>
    <row r="108" spans="1:4" x14ac:dyDescent="0.45">
      <c r="A108" s="2" t="str">
        <f>'[1]OUTWARD '!A108</f>
        <v xml:space="preserve">Plastic Accessory </v>
      </c>
      <c r="B108" s="2" t="str">
        <f>'[1]OUTWARD '!B108</f>
        <v>Square Buckle - Black - 32mm</v>
      </c>
      <c r="C108" s="6">
        <f>'[1]INWARD TOTAL'!H108-'[1]OUTWARD '!C108</f>
        <v>507</v>
      </c>
      <c r="D108" s="2"/>
    </row>
    <row r="109" spans="1:4" x14ac:dyDescent="0.45">
      <c r="A109" s="2" t="str">
        <f>'[1]OUTWARD '!A109</f>
        <v xml:space="preserve">Plastic Accessory </v>
      </c>
      <c r="B109" s="2" t="str">
        <f>'[1]OUTWARD '!B109</f>
        <v>Square Buckle - Black - 38mm - Classic</v>
      </c>
      <c r="C109" s="6">
        <f>'[1]INWARD TOTAL'!H109-'[1]OUTWARD '!C109</f>
        <v>701</v>
      </c>
      <c r="D109" s="2"/>
    </row>
    <row r="110" spans="1:4" x14ac:dyDescent="0.45">
      <c r="A110" s="2" t="str">
        <f>'[1]OUTWARD '!A110</f>
        <v xml:space="preserve">Plastic Accessory </v>
      </c>
      <c r="B110" s="2" t="str">
        <f>'[1]OUTWARD '!B110</f>
        <v>Square Buckle - FF_Black- 20mm</v>
      </c>
      <c r="C110" s="6">
        <f>'[1]INWARD TOTAL'!H110-'[1]OUTWARD '!C110</f>
        <v>60</v>
      </c>
      <c r="D110" s="2"/>
    </row>
    <row r="111" spans="1:4" x14ac:dyDescent="0.45">
      <c r="A111" s="2" t="str">
        <f>'[1]OUTWARD '!A111</f>
        <v xml:space="preserve">Plastic Accessory </v>
      </c>
      <c r="B111" s="2" t="str">
        <f>'[1]OUTWARD '!B111</f>
        <v>SQUARE BUCKLE IFC_25mm</v>
      </c>
      <c r="C111" s="6">
        <f>'[1]INWARD TOTAL'!H111-'[1]OUTWARD '!C111</f>
        <v>520</v>
      </c>
      <c r="D111" s="2"/>
    </row>
    <row r="112" spans="1:4" x14ac:dyDescent="0.45">
      <c r="A112" s="2" t="str">
        <f>'[1]OUTWARD '!A112</f>
        <v xml:space="preserve">Plastic Accessory </v>
      </c>
      <c r="B112" s="2" t="str">
        <f>'[1]OUTWARD '!B112</f>
        <v>SR Clamp-Black -20mm - Draco</v>
      </c>
      <c r="C112" s="6">
        <f>'[1]INWARD TOTAL'!H112-'[1]OUTWARD '!C112</f>
        <v>80</v>
      </c>
      <c r="D112" s="2"/>
    </row>
    <row r="113" spans="1:6" x14ac:dyDescent="0.45">
      <c r="A113" s="2" t="str">
        <f>'[1]OUTWARD '!A113</f>
        <v xml:space="preserve">Plastic Accessory </v>
      </c>
      <c r="B113" s="2" t="str">
        <f>'[1]OUTWARD '!B113</f>
        <v>SR Clamp-Black -25mm - Draco</v>
      </c>
      <c r="C113" s="6">
        <f>'[1]INWARD TOTAL'!H113-'[1]OUTWARD '!C113</f>
        <v>14912</v>
      </c>
      <c r="D113" s="2"/>
      <c r="F113" s="12">
        <f>C113+C114</f>
        <v>55912</v>
      </c>
    </row>
    <row r="114" spans="1:6" x14ac:dyDescent="0.45">
      <c r="A114" s="2" t="str">
        <f>'[1]OUTWARD '!A114</f>
        <v xml:space="preserve">Plastic Accessory </v>
      </c>
      <c r="B114" s="2" t="str">
        <f>'[1]OUTWARD '!B114</f>
        <v>SR Clamp-Black -25mm - Indus</v>
      </c>
      <c r="C114" s="6">
        <f>'[1]INWARD TOTAL'!H114-'[1]OUTWARD '!C114</f>
        <v>41000</v>
      </c>
      <c r="D114" s="2"/>
    </row>
    <row r="115" spans="1:6" x14ac:dyDescent="0.45">
      <c r="A115" s="2" t="str">
        <f>'[1]OUTWARD '!A115</f>
        <v xml:space="preserve">Plastic Accessory </v>
      </c>
      <c r="B115" s="2" t="str">
        <f>'[1]OUTWARD '!B115</f>
        <v>SR Clamp-Black - 38mm - Draco</v>
      </c>
      <c r="C115" s="6">
        <f>'[1]INWARD TOTAL'!H115-'[1]OUTWARD '!C115</f>
        <v>1228</v>
      </c>
      <c r="D115" s="2"/>
    </row>
    <row r="116" spans="1:6" x14ac:dyDescent="0.45">
      <c r="A116" s="2" t="str">
        <f>'[1]OUTWARD '!A116</f>
        <v xml:space="preserve">Plastic Accessory </v>
      </c>
      <c r="B116" s="2" t="str">
        <f>'[1]OUTWARD '!B116</f>
        <v>SR Clamp-Black -38mm - Indus</v>
      </c>
      <c r="C116" s="6">
        <f>'[1]INWARD TOTAL'!H116-'[1]OUTWARD '!C116</f>
        <v>8</v>
      </c>
      <c r="D116" s="2"/>
    </row>
    <row r="117" spans="1:6" x14ac:dyDescent="0.45">
      <c r="A117" s="2" t="str">
        <f>'[1]OUTWARD '!A117</f>
        <v xml:space="preserve">Plastic Accessory </v>
      </c>
      <c r="B117" s="2" t="str">
        <f>'[1]OUTWARD '!B117</f>
        <v>SR Clamp-Ultra  FF_25mm</v>
      </c>
      <c r="C117" s="6">
        <f>'[1]INWARD TOTAL'!H117-'[1]OUTWARD '!C117</f>
        <v>110</v>
      </c>
      <c r="D117" s="2"/>
    </row>
    <row r="118" spans="1:6" x14ac:dyDescent="0.45">
      <c r="A118" s="2" t="str">
        <f>'[1]OUTWARD '!A118</f>
        <v xml:space="preserve">Plastic Accessory </v>
      </c>
      <c r="B118" s="2" t="str">
        <f>'[1]OUTWARD '!B118</f>
        <v>SR Clamp_20mm</v>
      </c>
      <c r="C118" s="6">
        <f>'[1]INWARD TOTAL'!H118-'[1]OUTWARD '!C118</f>
        <v>37</v>
      </c>
      <c r="D118" s="2"/>
    </row>
    <row r="119" spans="1:6" x14ac:dyDescent="0.45">
      <c r="A119" s="2" t="str">
        <f>'[1]OUTWARD '!A119</f>
        <v xml:space="preserve">Plastic Accessory </v>
      </c>
      <c r="B119" s="2" t="str">
        <f>'[1]OUTWARD '!B119</f>
        <v>SR Clamp_25mm</v>
      </c>
      <c r="C119" s="6">
        <f>'[1]INWARD TOTAL'!H119-'[1]OUTWARD '!C119</f>
        <v>30</v>
      </c>
      <c r="D119" s="2"/>
    </row>
    <row r="120" spans="1:6" x14ac:dyDescent="0.45">
      <c r="A120" s="2" t="str">
        <f>'[1]OUTWARD '!A120</f>
        <v xml:space="preserve">Stationary </v>
      </c>
      <c r="B120" s="2" t="str">
        <f>'[1]OUTWARD '!B120</f>
        <v>Sticker Print-18%</v>
      </c>
      <c r="C120" s="6">
        <f>'[1]INWARD TOTAL'!H120-'[1]OUTWARD '!C120</f>
        <v>17.8</v>
      </c>
      <c r="D120" s="2"/>
    </row>
    <row r="121" spans="1:6" x14ac:dyDescent="0.45">
      <c r="A121" s="2" t="str">
        <f>'[1]OUTWARD '!A121</f>
        <v xml:space="preserve">Stationary </v>
      </c>
      <c r="B121" s="2" t="str">
        <f>'[1]OUTWARD '!B121</f>
        <v>Tefta Label with QR Code_40mm x 50 mm- 5%</v>
      </c>
      <c r="C121" s="6">
        <f>'[1]INWARD TOTAL'!H121-'[1]OUTWARD '!C121</f>
        <v>96571</v>
      </c>
      <c r="D121" s="2"/>
    </row>
    <row r="122" spans="1:6" x14ac:dyDescent="0.45">
      <c r="A122" s="2" t="str">
        <f>'[1]OUTWARD '!A122</f>
        <v>Thread</v>
      </c>
      <c r="B122" s="2" t="str">
        <f>'[1]OUTWARD '!B122</f>
        <v>THREAD FOR SACK SEWING</v>
      </c>
      <c r="C122" s="6">
        <f>'[1]INWARD TOTAL'!H122-'[1]OUTWARD '!C122</f>
        <v>-10</v>
      </c>
      <c r="D122" s="2"/>
    </row>
    <row r="123" spans="1:6" x14ac:dyDescent="0.45">
      <c r="A123" s="2" t="str">
        <f>'[1]OUTWARD '!A123</f>
        <v>Thread</v>
      </c>
      <c r="B123" s="2" t="str">
        <f>'[1]OUTWARD '!B123</f>
        <v>Thread_2Ply*100000mtr_Red/Z/TKT60</v>
      </c>
      <c r="C123" s="6">
        <f>'[1]INWARD TOTAL'!H123-'[1]OUTWARD '!C123</f>
        <v>6</v>
      </c>
      <c r="D123" s="2"/>
    </row>
    <row r="124" spans="1:6" x14ac:dyDescent="0.45">
      <c r="A124" s="2" t="str">
        <f>'[1]OUTWARD '!A124</f>
        <v>Thread</v>
      </c>
      <c r="B124" s="2" t="str">
        <f>'[1]OUTWARD '!B124</f>
        <v>Thread_2Ply*10000mtr_White/Z/TKT60</v>
      </c>
      <c r="C124" s="6">
        <f>'[1]INWARD TOTAL'!H124-'[1]OUTWARD '!C124</f>
        <v>4</v>
      </c>
      <c r="D124" s="2"/>
    </row>
    <row r="125" spans="1:6" x14ac:dyDescent="0.45">
      <c r="A125" s="2" t="str">
        <f>'[1]OUTWARD '!A125</f>
        <v>Thread</v>
      </c>
      <c r="B125" s="2" t="str">
        <f>'[1]OUTWARD '!B125</f>
        <v>Thread_2Ply*10000mtr_Yellow/Z/TKT60</v>
      </c>
      <c r="C125" s="6">
        <f>'[1]INWARD TOTAL'!H125-'[1]OUTWARD '!C125</f>
        <v>5</v>
      </c>
      <c r="D125" s="2"/>
    </row>
    <row r="126" spans="1:6" x14ac:dyDescent="0.45">
      <c r="A126" s="2" t="str">
        <f>'[1]OUTWARD '!A126</f>
        <v>Thread</v>
      </c>
      <c r="B126" s="2" t="str">
        <f>'[1]OUTWARD '!B126</f>
        <v>Thread_2Ply*2000mtr_Black/Z/J150- 5%</v>
      </c>
      <c r="C126" s="6">
        <f>'[1]INWARD TOTAL'!H126-'[1]OUTWARD '!C126</f>
        <v>1436</v>
      </c>
      <c r="D126" s="2"/>
    </row>
    <row r="127" spans="1:6" x14ac:dyDescent="0.45">
      <c r="A127" s="4" t="str">
        <f>'[1]OUTWARD '!A127</f>
        <v>Thread</v>
      </c>
      <c r="B127" s="4" t="str">
        <f>'[1]OUTWARD '!B127</f>
        <v>Thread_2Ply*2000mtr_Golden yellow/Z/J150</v>
      </c>
      <c r="C127" s="5">
        <f>'[1]INWARD TOTAL'!H127-'[1]OUTWARD '!C127</f>
        <v>0</v>
      </c>
      <c r="D127" s="2"/>
    </row>
    <row r="128" spans="1:6" x14ac:dyDescent="0.45">
      <c r="A128" s="2" t="str">
        <f>'[1]OUTWARD '!A128</f>
        <v>Thread</v>
      </c>
      <c r="B128" s="2" t="str">
        <f>'[1]OUTWARD '!B128</f>
        <v>Thread_2Ply*2000mtr_Golden Yellow_N166/J150-5%</v>
      </c>
      <c r="C128" s="6">
        <f>'[1]INWARD TOTAL'!H128-'[1]OUTWARD '!C128</f>
        <v>402</v>
      </c>
      <c r="D128" s="2"/>
    </row>
    <row r="129" spans="1:4" x14ac:dyDescent="0.45">
      <c r="A129" s="2" t="str">
        <f>'[1]OUTWARD '!A129</f>
        <v>Thread</v>
      </c>
      <c r="B129" s="8" t="str">
        <f>'[1]OUTWARD '!B129</f>
        <v>Thread_2Ply*2000mtr_Grey/N141/J150-5%</v>
      </c>
      <c r="C129" s="3">
        <f>'[1]INWARD TOTAL'!H129-'[1]OUTWARD '!C129</f>
        <v>333</v>
      </c>
      <c r="D129" s="2"/>
    </row>
    <row r="130" spans="1:4" x14ac:dyDescent="0.45">
      <c r="A130" s="4" t="str">
        <f>'[1]OUTWARD '!A130</f>
        <v>Thread</v>
      </c>
      <c r="B130" s="4" t="str">
        <f>'[1]OUTWARD '!B130</f>
        <v>Thread_2Ply*2000mtr_Grey/Z/J150</v>
      </c>
      <c r="C130" s="5">
        <f>'[1]INWARD TOTAL'!H130-'[1]OUTWARD '!C130</f>
        <v>-30</v>
      </c>
      <c r="D130" s="2"/>
    </row>
    <row r="131" spans="1:4" x14ac:dyDescent="0.45">
      <c r="A131" s="4" t="str">
        <f>'[1]OUTWARD '!A131</f>
        <v>Thread</v>
      </c>
      <c r="B131" s="4" t="str">
        <f>'[1]OUTWARD '!B131</f>
        <v>Thread_2Ply*2000mtr_Navyblue/N920/J150_5%</v>
      </c>
      <c r="C131" s="5">
        <f>'[1]INWARD TOTAL'!H131-'[1]OUTWARD '!C131</f>
        <v>0</v>
      </c>
      <c r="D131" s="2"/>
    </row>
    <row r="132" spans="1:4" x14ac:dyDescent="0.45">
      <c r="A132" s="2" t="str">
        <f>'[1]OUTWARD '!A132</f>
        <v>Thread</v>
      </c>
      <c r="B132" s="2" t="str">
        <f>'[1]OUTWARD '!B132</f>
        <v>Thread_2Ply*2000mtr_Red/Z/J150</v>
      </c>
      <c r="C132" s="6">
        <f>'[1]INWARD TOTAL'!H132-'[1]OUTWARD '!C132</f>
        <v>160</v>
      </c>
      <c r="D132" s="2"/>
    </row>
    <row r="133" spans="1:4" x14ac:dyDescent="0.45">
      <c r="A133" s="2" t="str">
        <f>'[1]OUTWARD '!A133</f>
        <v>Thread</v>
      </c>
      <c r="B133" s="2" t="str">
        <f>'[1]OUTWARD '!B133</f>
        <v>Thread_3Ply*1000mtr_Blue/Z/ULTRA DEE/TKT30</v>
      </c>
      <c r="C133" s="6">
        <f>'[1]INWARD TOTAL'!H133-'[1]OUTWARD '!C133</f>
        <v>4</v>
      </c>
      <c r="D133" s="2"/>
    </row>
    <row r="134" spans="1:4" x14ac:dyDescent="0.45">
      <c r="A134" s="2" t="str">
        <f>'[1]OUTWARD '!A134</f>
        <v>Thread</v>
      </c>
      <c r="B134" s="2" t="str">
        <f>'[1]OUTWARD '!B134</f>
        <v>Thread_3Ply*1000mtr_M Green/Z/ULTRA DEE/TKT30</v>
      </c>
      <c r="C134" s="6">
        <f>'[1]INWARD TOTAL'!H134-'[1]OUTWARD '!C134</f>
        <v>23</v>
      </c>
      <c r="D134" s="2"/>
    </row>
    <row r="135" spans="1:4" x14ac:dyDescent="0.45">
      <c r="A135" s="2" t="str">
        <f>'[1]OUTWARD '!A135</f>
        <v>Thread</v>
      </c>
      <c r="B135" s="2" t="str">
        <f>'[1]OUTWARD '!B135</f>
        <v>Thread_3Ply*1000mtr_Red/Z/ULTRA DEE/TKT30</v>
      </c>
      <c r="C135" s="6">
        <f>'[1]INWARD TOTAL'!H135-'[1]OUTWARD '!C135</f>
        <v>11</v>
      </c>
      <c r="D135" s="2"/>
    </row>
    <row r="136" spans="1:4" x14ac:dyDescent="0.45">
      <c r="A136" s="2" t="str">
        <f>'[1]OUTWARD '!A136</f>
        <v>Thread</v>
      </c>
      <c r="B136" s="2" t="str">
        <f>'[1]OUTWARD '!B136</f>
        <v>Thread_3Ply*1500mtr_Black/Z/J125- 5%</v>
      </c>
      <c r="C136" s="6">
        <f>'[1]INWARD TOTAL'!H136-'[1]OUTWARD '!C136</f>
        <v>922</v>
      </c>
      <c r="D136" s="2"/>
    </row>
    <row r="137" spans="1:4" x14ac:dyDescent="0.45">
      <c r="A137" s="4" t="str">
        <f>'[1]OUTWARD '!A137</f>
        <v>Thread</v>
      </c>
      <c r="B137" s="4" t="str">
        <f>'[1]OUTWARD '!B137</f>
        <v>Thread_3Ply*1500mtr_Golden yellow/Z/J125</v>
      </c>
      <c r="C137" s="5">
        <f>'[1]INWARD TOTAL'!H137-'[1]OUTWARD '!C137</f>
        <v>0</v>
      </c>
      <c r="D137" s="2"/>
    </row>
    <row r="138" spans="1:4" x14ac:dyDescent="0.45">
      <c r="A138" s="2" t="str">
        <f>'[1]OUTWARD '!A138</f>
        <v>Thread</v>
      </c>
      <c r="B138" s="2" t="str">
        <f>'[1]OUTWARD '!B138</f>
        <v>Thread_3Ply*1500mtr_Golden Yellow_N166/J125-5%</v>
      </c>
      <c r="C138" s="6">
        <f>'[1]INWARD TOTAL'!H138-'[1]OUTWARD '!C138</f>
        <v>244</v>
      </c>
      <c r="D138" s="2"/>
    </row>
    <row r="139" spans="1:4" x14ac:dyDescent="0.45">
      <c r="A139" s="4" t="str">
        <f>'[1]OUTWARD '!A139</f>
        <v>Thread</v>
      </c>
      <c r="B139" s="4" t="str">
        <f>'[1]OUTWARD '!B139</f>
        <v>Thread_3Ply*1500mtr_Red/N5710/J125-5%</v>
      </c>
      <c r="C139" s="5">
        <f>'[1]INWARD TOTAL'!H139-'[1]OUTWARD '!C139</f>
        <v>0</v>
      </c>
      <c r="D139" s="2"/>
    </row>
    <row r="140" spans="1:4" x14ac:dyDescent="0.45">
      <c r="A140" s="2" t="str">
        <f>'[1]OUTWARD '!A140</f>
        <v>Thread</v>
      </c>
      <c r="B140" s="2" t="str">
        <f>'[1]OUTWARD '!B140</f>
        <v>Thread_3Ply*1500mtr_Red/Z/J125</v>
      </c>
      <c r="C140" s="6">
        <f>'[1]INWARD TOTAL'!H140-'[1]OUTWARD '!C140</f>
        <v>120</v>
      </c>
      <c r="D140" s="2"/>
    </row>
    <row r="141" spans="1:4" x14ac:dyDescent="0.45">
      <c r="A141" s="4" t="str">
        <f>'[1]OUTWARD '!A141</f>
        <v>Thread</v>
      </c>
      <c r="B141" s="4" t="str">
        <f>'[1]OUTWARD '!B141</f>
        <v>Thread_3Ply*400mtr_Blue/Z/TKT120</v>
      </c>
      <c r="C141" s="5">
        <f>'[1]INWARD TOTAL'!H141-'[1]OUTWARD '!C141</f>
        <v>0</v>
      </c>
      <c r="D141" s="6"/>
    </row>
    <row r="142" spans="1:4" x14ac:dyDescent="0.45">
      <c r="A142" s="4" t="str">
        <f>'[1]OUTWARD '!A142</f>
        <v>Thread</v>
      </c>
      <c r="B142" s="4" t="str">
        <f>'[1]OUTWARD '!B142</f>
        <v>Thread_3Ply*400mtr_Brown/Z/TKT120</v>
      </c>
      <c r="C142" s="5">
        <f>'[1]INWARD TOTAL'!H142-'[1]OUTWARD '!C142</f>
        <v>0</v>
      </c>
      <c r="D142" s="2"/>
    </row>
    <row r="143" spans="1:4" x14ac:dyDescent="0.45">
      <c r="A143" s="4" t="str">
        <f>'[1]OUTWARD '!A143</f>
        <v>Thread</v>
      </c>
      <c r="B143" s="4" t="str">
        <f>'[1]OUTWARD '!B143</f>
        <v>Thread_3Ply*400mtr_C Green/Z/TKT120</v>
      </c>
      <c r="C143" s="5">
        <f>'[1]INWARD TOTAL'!H143-'[1]OUTWARD '!C143</f>
        <v>0</v>
      </c>
      <c r="D143" s="2"/>
    </row>
    <row r="144" spans="1:4" x14ac:dyDescent="0.45">
      <c r="A144" s="4" t="str">
        <f>'[1]OUTWARD '!A144</f>
        <v>Thread</v>
      </c>
      <c r="B144" s="4" t="str">
        <f>'[1]OUTWARD '!B144</f>
        <v>Thread_3Ply*400mtr_Dark Green/Z/TKT120</v>
      </c>
      <c r="C144" s="5">
        <f>'[1]INWARD TOTAL'!H144-'[1]OUTWARD '!C144</f>
        <v>0</v>
      </c>
      <c r="D144" s="2"/>
    </row>
    <row r="145" spans="1:4" x14ac:dyDescent="0.45">
      <c r="A145" s="4" t="str">
        <f>'[1]OUTWARD '!A145</f>
        <v>Thread</v>
      </c>
      <c r="B145" s="4" t="str">
        <f>'[1]OUTWARD '!B145</f>
        <v>Thread_3Ply*400mtr_Dark grey/Z/TKT120</v>
      </c>
      <c r="C145" s="5">
        <f>'[1]INWARD TOTAL'!H145-'[1]OUTWARD '!C145</f>
        <v>0</v>
      </c>
      <c r="D145" s="2"/>
    </row>
    <row r="146" spans="1:4" x14ac:dyDescent="0.45">
      <c r="A146" s="4" t="str">
        <f>'[1]OUTWARD '!A146</f>
        <v>Thread</v>
      </c>
      <c r="B146" s="4" t="str">
        <f>'[1]OUTWARD '!B146</f>
        <v>Thread_3Ply*400mtr_Fluorescent yellow/Z/TKT120</v>
      </c>
      <c r="C146" s="5">
        <f>'[1]INWARD TOTAL'!H146-'[1]OUTWARD '!C146</f>
        <v>0</v>
      </c>
      <c r="D146" s="2"/>
    </row>
    <row r="147" spans="1:4" x14ac:dyDescent="0.45">
      <c r="A147" s="4" t="str">
        <f>'[1]OUTWARD '!A147</f>
        <v>Thread</v>
      </c>
      <c r="B147" s="4" t="str">
        <f>'[1]OUTWARD '!B147</f>
        <v>Thread_3Ply*400mtr_Golden yellow/Z/TKT120</v>
      </c>
      <c r="C147" s="5">
        <f>'[1]INWARD TOTAL'!H147-'[1]OUTWARD '!C147</f>
        <v>0</v>
      </c>
      <c r="D147" s="2"/>
    </row>
    <row r="148" spans="1:4" x14ac:dyDescent="0.45">
      <c r="A148" s="4" t="str">
        <f>'[1]OUTWARD '!A148</f>
        <v>Thread</v>
      </c>
      <c r="B148" s="4" t="str">
        <f>'[1]OUTWARD '!B148</f>
        <v>Thread_3Ply*400mtr_Golden/Z/TKT120</v>
      </c>
      <c r="C148" s="5">
        <f>'[1]INWARD TOTAL'!H148-'[1]OUTWARD '!C148</f>
        <v>0</v>
      </c>
      <c r="D148" s="2"/>
    </row>
    <row r="149" spans="1:4" x14ac:dyDescent="0.45">
      <c r="A149" s="4" t="str">
        <f>'[1]OUTWARD '!A149</f>
        <v>Thread</v>
      </c>
      <c r="B149" s="4" t="str">
        <f>'[1]OUTWARD '!B149</f>
        <v>Thread_3Ply*400mtr_Light Brown/Z/TKT120</v>
      </c>
      <c r="C149" s="5">
        <f>'[1]INWARD TOTAL'!H149-'[1]OUTWARD '!C149</f>
        <v>0</v>
      </c>
      <c r="D149" s="2"/>
    </row>
    <row r="150" spans="1:4" x14ac:dyDescent="0.45">
      <c r="A150" s="4" t="str">
        <f>'[1]OUTWARD '!A150</f>
        <v>Thread</v>
      </c>
      <c r="B150" s="4" t="str">
        <f>'[1]OUTWARD '!B150</f>
        <v>Thread_3Ply*400mtr_Maroon/Z/TKT120</v>
      </c>
      <c r="C150" s="5">
        <f>'[1]INWARD TOTAL'!H150-'[1]OUTWARD '!C150</f>
        <v>0</v>
      </c>
      <c r="D150" s="2"/>
    </row>
    <row r="151" spans="1:4" x14ac:dyDescent="0.45">
      <c r="A151" s="4" t="str">
        <f>'[1]OUTWARD '!A151</f>
        <v>Thread</v>
      </c>
      <c r="B151" s="4" t="str">
        <f>'[1]OUTWARD '!B151</f>
        <v>Thread_3Ply*400mtr_Orange/Z/TKT120</v>
      </c>
      <c r="C151" s="5">
        <f>'[1]INWARD TOTAL'!H151-'[1]OUTWARD '!C151</f>
        <v>0</v>
      </c>
      <c r="D151" s="2"/>
    </row>
    <row r="152" spans="1:4" x14ac:dyDescent="0.45">
      <c r="A152" s="4" t="str">
        <f>'[1]OUTWARD '!A152</f>
        <v>Thread</v>
      </c>
      <c r="B152" s="4" t="str">
        <f>'[1]OUTWARD '!B152</f>
        <v>Thread_3Ply*400mtr_Red/Z/TKT120</v>
      </c>
      <c r="C152" s="5">
        <f>'[1]INWARD TOTAL'!H152-'[1]OUTWARD '!C152</f>
        <v>0</v>
      </c>
      <c r="D152" s="2"/>
    </row>
    <row r="153" spans="1:4" x14ac:dyDescent="0.45">
      <c r="A153" s="4" t="str">
        <f>'[1]OUTWARD '!A153</f>
        <v>Thread</v>
      </c>
      <c r="B153" s="4" t="str">
        <f>'[1]OUTWARD '!B153</f>
        <v>Thread_3Ply*5000mtr_Black_Y260</v>
      </c>
      <c r="C153" s="5">
        <f>'[1]INWARD TOTAL'!H153-'[1]OUTWARD '!C153</f>
        <v>0</v>
      </c>
      <c r="D153" s="2"/>
    </row>
    <row r="154" spans="1:4" x14ac:dyDescent="0.45">
      <c r="A154" s="2" t="str">
        <f>'[1]OUTWARD '!A154</f>
        <v xml:space="preserve">Plastic Accessory </v>
      </c>
      <c r="B154" s="2" t="str">
        <f>'[1]OUTWARD '!B154</f>
        <v>Triangle Buckle-N</v>
      </c>
      <c r="C154" s="6">
        <f>'[1]INWARD TOTAL'!H154-'[1]OUTWARD '!C154</f>
        <v>933</v>
      </c>
      <c r="D154" s="2"/>
    </row>
    <row r="155" spans="1:4" x14ac:dyDescent="0.45">
      <c r="A155" s="2" t="str">
        <f>'[1]OUTWARD '!A155</f>
        <v xml:space="preserve">Plastic Accessory </v>
      </c>
      <c r="B155" s="2" t="str">
        <f>'[1]OUTWARD '!B155</f>
        <v>USB CHARGING  IFC</v>
      </c>
      <c r="C155" s="6">
        <f>'[1]INWARD TOTAL'!H155-'[1]OUTWARD '!C155</f>
        <v>35</v>
      </c>
      <c r="D155" s="2"/>
    </row>
    <row r="156" spans="1:4" x14ac:dyDescent="0.45">
      <c r="A156" s="2" t="str">
        <f>'[1]OUTWARD '!A156</f>
        <v xml:space="preserve">Plastic Accessory </v>
      </c>
      <c r="B156" s="2" t="str">
        <f>'[1]OUTWARD '!B156</f>
        <v>USB Cord with Cover</v>
      </c>
      <c r="C156" s="6">
        <f>'[1]INWARD TOTAL'!H156-'[1]OUTWARD '!C156</f>
        <v>20</v>
      </c>
      <c r="D156" s="2"/>
    </row>
    <row r="157" spans="1:4" x14ac:dyDescent="0.45">
      <c r="A157" s="2" t="str">
        <f>'[1]OUTWARD '!A157</f>
        <v xml:space="preserve">Velcro Tape </v>
      </c>
      <c r="B157" s="2" t="str">
        <f>'[1]OUTWARD '!B157</f>
        <v>Velcro -Micro Hook-10mm-1000 Mtr White-GBS</v>
      </c>
      <c r="C157" s="6">
        <f>'[1]INWARD TOTAL'!H157-'[1]OUTWARD '!C157</f>
        <v>0</v>
      </c>
      <c r="D157" s="2"/>
    </row>
    <row r="158" spans="1:4" x14ac:dyDescent="0.45">
      <c r="A158" s="2" t="str">
        <f>'[1]OUTWARD '!A158</f>
        <v xml:space="preserve">Velcro Tape </v>
      </c>
      <c r="B158" s="2" t="str">
        <f>'[1]OUTWARD '!B158</f>
        <v>Velcro _2 Side-50mm-Black</v>
      </c>
      <c r="C158" s="6">
        <f>'[1]INWARD TOTAL'!H158-'[1]OUTWARD '!C158</f>
        <v>25</v>
      </c>
      <c r="D158" s="2"/>
    </row>
    <row r="159" spans="1:4" x14ac:dyDescent="0.45">
      <c r="A159" s="2" t="str">
        <f>'[1]OUTWARD '!A159</f>
        <v xml:space="preserve">Velcro Tape </v>
      </c>
      <c r="B159" s="2" t="str">
        <f>'[1]OUTWARD '!B159</f>
        <v>Velcro _Hook-10mm-White_Max</v>
      </c>
      <c r="C159" s="6">
        <f>'[1]INWARD TOTAL'!H159-'[1]OUTWARD '!C159</f>
        <v>25</v>
      </c>
      <c r="D159" s="2"/>
    </row>
    <row r="160" spans="1:4" x14ac:dyDescent="0.45">
      <c r="A160" s="2" t="str">
        <f>'[1]OUTWARD '!A160</f>
        <v xml:space="preserve">Velcro Tape </v>
      </c>
      <c r="B160" s="2" t="str">
        <f>'[1]OUTWARD '!B160</f>
        <v>Velcro _hook-110mm-Black</v>
      </c>
      <c r="C160" s="6">
        <f>'[1]INWARD TOTAL'!H160-'[1]OUTWARD '!C160</f>
        <v>25</v>
      </c>
      <c r="D160" s="2"/>
    </row>
    <row r="161" spans="1:5" x14ac:dyDescent="0.45">
      <c r="A161" s="2" t="str">
        <f>'[1]OUTWARD '!A161</f>
        <v xml:space="preserve">Velcro Tape </v>
      </c>
      <c r="B161" s="2" t="str">
        <f>'[1]OUTWARD '!B161</f>
        <v>Velcro _Hook-15mm-White_With adhesive</v>
      </c>
      <c r="C161" s="6">
        <f>'[1]INWARD TOTAL'!H161-'[1]OUTWARD '!C161</f>
        <v>25</v>
      </c>
      <c r="D161" s="2"/>
    </row>
    <row r="162" spans="1:5" x14ac:dyDescent="0.45">
      <c r="A162" s="2" t="str">
        <f>'[1]OUTWARD '!A162</f>
        <v xml:space="preserve">Velcro Tape </v>
      </c>
      <c r="B162" s="2" t="str">
        <f>'[1]OUTWARD '!B162</f>
        <v>Velcro _Hook-20mm-White_Classic</v>
      </c>
      <c r="C162" s="6">
        <f>'[1]INWARD TOTAL'!H162-'[1]OUTWARD '!C162</f>
        <v>25</v>
      </c>
      <c r="D162" s="2"/>
    </row>
    <row r="163" spans="1:5" x14ac:dyDescent="0.45">
      <c r="A163" s="2" t="str">
        <f>'[1]OUTWARD '!A163</f>
        <v xml:space="preserve">Velcro Tape </v>
      </c>
      <c r="B163" s="2" t="str">
        <f>'[1]OUTWARD '!B163</f>
        <v>Velcro _hook-20mm-White_Maestro</v>
      </c>
      <c r="C163" s="6">
        <f>'[1]INWARD TOTAL'!H163-'[1]OUTWARD '!C163</f>
        <v>25</v>
      </c>
      <c r="D163" s="2"/>
    </row>
    <row r="164" spans="1:5" x14ac:dyDescent="0.45">
      <c r="A164" s="2" t="str">
        <f>'[1]OUTWARD '!A164</f>
        <v xml:space="preserve">Velcro Tape </v>
      </c>
      <c r="B164" s="9" t="str">
        <f>'[1]OUTWARD '!B164</f>
        <v>Velcro _Hook-25mm-Black_Diamond</v>
      </c>
      <c r="C164" s="10">
        <f>'[1]INWARD TOTAL'!H164-'[1]OUTWARD '!C164</f>
        <v>53200</v>
      </c>
      <c r="D164" s="2" t="s">
        <v>9</v>
      </c>
      <c r="E164" s="13" t="s">
        <v>10</v>
      </c>
    </row>
    <row r="165" spans="1:5" x14ac:dyDescent="0.45">
      <c r="A165" s="2" t="str">
        <f>'[1]OUTWARD '!A165</f>
        <v xml:space="preserve">Velcro Tape </v>
      </c>
      <c r="B165" s="8" t="str">
        <f>'[1]OUTWARD '!B165</f>
        <v>Velcro _Hook-25mm-Red_Welar</v>
      </c>
      <c r="C165" s="6">
        <f>'[1]INWARD TOTAL'!H165-'[1]OUTWARD '!C165</f>
        <v>100</v>
      </c>
      <c r="D165" s="2"/>
    </row>
    <row r="166" spans="1:5" x14ac:dyDescent="0.45">
      <c r="A166" s="2" t="str">
        <f>'[1]OUTWARD '!A166</f>
        <v xml:space="preserve">Velcro Tape </v>
      </c>
      <c r="B166" s="8" t="str">
        <f>'[1]OUTWARD '!B166</f>
        <v>Velcro _Hook-25mm-White_Max</v>
      </c>
      <c r="C166" s="6">
        <f>'[1]INWARD TOTAL'!H166-'[1]OUTWARD '!C166</f>
        <v>100</v>
      </c>
      <c r="D166" s="2"/>
    </row>
    <row r="167" spans="1:5" x14ac:dyDescent="0.45">
      <c r="A167" s="2" t="str">
        <f>'[1]OUTWARD '!A167</f>
        <v xml:space="preserve">Velcro Tape </v>
      </c>
      <c r="B167" s="14" t="str">
        <f>'[1]OUTWARD '!B167</f>
        <v>Velcro _Hook-38mm-Black_Diamond</v>
      </c>
      <c r="C167" s="15">
        <f>'[1]INWARD TOTAL'!H167-'[1]OUTWARD '!C167</f>
        <v>0</v>
      </c>
      <c r="D167" s="2" t="s">
        <v>11</v>
      </c>
    </row>
    <row r="168" spans="1:5" x14ac:dyDescent="0.45">
      <c r="A168" s="2" t="str">
        <f>'[1]OUTWARD '!A168</f>
        <v xml:space="preserve">Velcro Tape </v>
      </c>
      <c r="B168" s="2" t="str">
        <f>'[1]OUTWARD '!B168</f>
        <v>Velcro _Hook-38mm-Black_K fast</v>
      </c>
      <c r="C168" s="6">
        <f>'[1]INWARD TOTAL'!H168-'[1]OUTWARD '!C168</f>
        <v>400</v>
      </c>
      <c r="D168" s="2"/>
    </row>
    <row r="169" spans="1:5" x14ac:dyDescent="0.45">
      <c r="A169" s="2" t="str">
        <f>'[1]OUTWARD '!A169</f>
        <v xml:space="preserve">Velcro Tape </v>
      </c>
      <c r="B169" s="2" t="str">
        <f>'[1]OUTWARD '!B169</f>
        <v>Velcro _Hook-50mm-Black_Max</v>
      </c>
      <c r="C169" s="6">
        <f>'[1]INWARD TOTAL'!H169-'[1]OUTWARD '!C169</f>
        <v>150</v>
      </c>
      <c r="D169" s="2"/>
    </row>
    <row r="170" spans="1:5" x14ac:dyDescent="0.45">
      <c r="A170" s="2" t="str">
        <f>'[1]OUTWARD '!A170</f>
        <v xml:space="preserve">Velcro Tape </v>
      </c>
      <c r="B170" s="2" t="str">
        <f>'[1]OUTWARD '!B170</f>
        <v>Velcro _Loop-10mm-White_Max</v>
      </c>
      <c r="C170" s="6">
        <f>'[1]INWARD TOTAL'!H170-'[1]OUTWARD '!C170</f>
        <v>50</v>
      </c>
      <c r="D170" s="2"/>
    </row>
    <row r="171" spans="1:5" x14ac:dyDescent="0.45">
      <c r="A171" s="2" t="str">
        <f>'[1]OUTWARD '!A171</f>
        <v xml:space="preserve">Velcro Tape </v>
      </c>
      <c r="B171" s="2" t="str">
        <f>'[1]OUTWARD '!B171</f>
        <v>Velcro _Loop-20mm-White_Classic</v>
      </c>
      <c r="C171" s="6">
        <f>'[1]INWARD TOTAL'!H171-'[1]OUTWARD '!C171</f>
        <v>25</v>
      </c>
      <c r="D171" s="2"/>
    </row>
    <row r="172" spans="1:5" x14ac:dyDescent="0.45">
      <c r="A172" s="2" t="str">
        <f>'[1]OUTWARD '!A172</f>
        <v xml:space="preserve">Velcro Tape </v>
      </c>
      <c r="B172" s="2" t="str">
        <f>'[1]OUTWARD '!B172</f>
        <v>Velcro _Loop-20mm-White_Maestro</v>
      </c>
      <c r="C172" s="6">
        <f>'[1]INWARD TOTAL'!H172-'[1]OUTWARD '!C172</f>
        <v>25</v>
      </c>
      <c r="D172" s="2"/>
    </row>
    <row r="173" spans="1:5" x14ac:dyDescent="0.45">
      <c r="A173" s="2" t="str">
        <f>'[1]OUTWARD '!A173</f>
        <v xml:space="preserve">Velcro Tape </v>
      </c>
      <c r="B173" s="2" t="str">
        <f>'[1]OUTWARD '!B173</f>
        <v>Velcro _Loop-20mm-White_Ultra</v>
      </c>
      <c r="C173" s="6">
        <f>'[1]INWARD TOTAL'!H173-'[1]OUTWARD '!C173</f>
        <v>25</v>
      </c>
      <c r="D173" s="2"/>
    </row>
    <row r="174" spans="1:5" x14ac:dyDescent="0.45">
      <c r="A174" s="2" t="str">
        <f>'[1]OUTWARD '!A174</f>
        <v xml:space="preserve">Velcro Tape </v>
      </c>
      <c r="B174" s="9" t="str">
        <f>'[1]OUTWARD '!B174</f>
        <v>Velcro _Loop-25mm-Black_Diamond</v>
      </c>
      <c r="C174" s="10">
        <f>'[1]INWARD TOTAL'!H174-'[1]OUTWARD '!C174</f>
        <v>19000</v>
      </c>
      <c r="D174" s="2" t="s">
        <v>9</v>
      </c>
      <c r="E174" s="13" t="s">
        <v>12</v>
      </c>
    </row>
    <row r="175" spans="1:5" x14ac:dyDescent="0.45">
      <c r="A175" s="2" t="str">
        <f>'[1]OUTWARD '!A175</f>
        <v xml:space="preserve">Velcro Tape </v>
      </c>
      <c r="B175" s="8" t="str">
        <f>'[1]OUTWARD '!B175</f>
        <v>Velcro _Loop-25mm-Red_Welar</v>
      </c>
      <c r="C175" s="6">
        <f>'[1]INWARD TOTAL'!H175-'[1]OUTWARD '!C175</f>
        <v>100</v>
      </c>
      <c r="D175" s="2"/>
    </row>
    <row r="176" spans="1:5" x14ac:dyDescent="0.45">
      <c r="A176" s="2" t="str">
        <f>'[1]OUTWARD '!A176</f>
        <v xml:space="preserve">Velcro Tape </v>
      </c>
      <c r="B176" s="8" t="str">
        <f>'[1]OUTWARD '!B176</f>
        <v>Velcro _Loop-25mm-White_Max</v>
      </c>
      <c r="C176" s="6">
        <f>'[1]INWARD TOTAL'!H176-'[1]OUTWARD '!C176</f>
        <v>175</v>
      </c>
      <c r="D176" s="2"/>
    </row>
    <row r="177" spans="1:5" x14ac:dyDescent="0.45">
      <c r="A177" s="2" t="str">
        <f>'[1]OUTWARD '!A177</f>
        <v xml:space="preserve">Velcro Tape </v>
      </c>
      <c r="B177" s="14" t="str">
        <f>'[1]OUTWARD '!B177</f>
        <v>Velcro _Loop-38mm-Black_Diamond</v>
      </c>
      <c r="C177" s="15">
        <f>'[1]INWARD TOTAL'!H177-'[1]OUTWARD '!C177</f>
        <v>200</v>
      </c>
      <c r="D177" s="2" t="s">
        <v>9</v>
      </c>
      <c r="E177" s="13" t="s">
        <v>13</v>
      </c>
    </row>
    <row r="178" spans="1:5" x14ac:dyDescent="0.45">
      <c r="A178" s="2" t="str">
        <f>'[1]OUTWARD '!A178</f>
        <v xml:space="preserve">Velcro Tape </v>
      </c>
      <c r="B178" s="2" t="str">
        <f>'[1]OUTWARD '!B178</f>
        <v>Velcro _Loop-50mm-Black_Max</v>
      </c>
      <c r="C178" s="6">
        <f>'[1]INWARD TOTAL'!H178-'[1]OUTWARD '!C178</f>
        <v>200</v>
      </c>
      <c r="D178" s="2"/>
    </row>
    <row r="179" spans="1:5" x14ac:dyDescent="0.45">
      <c r="A179" s="2" t="str">
        <f>'[1]OUTWARD '!A179</f>
        <v>Plastic Accessory</v>
      </c>
      <c r="B179" s="2" t="str">
        <f>'[1]OUTWARD '!B179</f>
        <v>Washer</v>
      </c>
      <c r="C179" s="6">
        <f>'[1]INWARD TOTAL'!H179-'[1]OUTWARD '!C179</f>
        <v>2800</v>
      </c>
      <c r="D179" s="2"/>
    </row>
    <row r="180" spans="1:5" x14ac:dyDescent="0.45">
      <c r="A180" s="2" t="str">
        <f>'[1]OUTWARD '!A180</f>
        <v>Zip</v>
      </c>
      <c r="B180" s="2" t="str">
        <f>'[1]OUTWARD '!B180</f>
        <v>Water Proof Zipper_7No.</v>
      </c>
      <c r="C180" s="6">
        <f>'[1]INWARD TOTAL'!H180-'[1]OUTWARD '!C180</f>
        <v>400</v>
      </c>
      <c r="D180" s="2"/>
    </row>
    <row r="181" spans="1:5" x14ac:dyDescent="0.45">
      <c r="A181" s="2" t="str">
        <f>'[1]OUTWARD '!A181</f>
        <v>Zip</v>
      </c>
      <c r="B181" s="2" t="str">
        <f>'[1]OUTWARD '!B181</f>
        <v>WFSF_60"_24No_Black</v>
      </c>
      <c r="C181" s="6">
        <f>'[1]INWARD TOTAL'!H181-'[1]OUTWARD '!C181</f>
        <v>6573</v>
      </c>
      <c r="D181" s="2"/>
    </row>
    <row r="182" spans="1:5" x14ac:dyDescent="0.45">
      <c r="A182" s="2" t="str">
        <f>'[1]OUTWARD '!A182</f>
        <v>Zip</v>
      </c>
      <c r="B182" s="8" t="str">
        <f>'[1]OUTWARD '!B182</f>
        <v>Zip_#10No.Black/10CZR30K100YRB-5%</v>
      </c>
      <c r="C182" s="3">
        <f>'[1]INWARD TOTAL'!H182-'[1]OUTWARD '!C182</f>
        <v>14</v>
      </c>
      <c r="D182" s="2"/>
    </row>
    <row r="183" spans="1:5" x14ac:dyDescent="0.45">
      <c r="A183" s="2" t="str">
        <f>'[1]OUTWARD '!A183</f>
        <v>Zip</v>
      </c>
      <c r="B183" s="4" t="str">
        <f>'[1]OUTWARD '!B183</f>
        <v>Zip_#8 No.Black/8 CFC 1.8K100YRB</v>
      </c>
      <c r="C183" s="5">
        <f>'[1]INWARD TOTAL'!H183-'[1]OUTWARD '!C183</f>
        <v>65</v>
      </c>
      <c r="D183" s="2"/>
    </row>
    <row r="184" spans="1:5" x14ac:dyDescent="0.45">
      <c r="A184" s="2" t="str">
        <f>'[1]OUTWARD '!A184</f>
        <v>Zip</v>
      </c>
      <c r="B184" s="4" t="str">
        <f>'[1]OUTWARD '!B184</f>
        <v>Zip_39mm Width_#8 No.Black/8 CFC 2.2K100YRB-5%</v>
      </c>
      <c r="C184" s="5">
        <f>'[1]INWARD TOTAL'!H184-'[1]OUTWARD '!C184</f>
        <v>20</v>
      </c>
      <c r="D184" s="2"/>
    </row>
    <row r="185" spans="1:5" x14ac:dyDescent="0.45">
      <c r="A185" s="2" t="str">
        <f>'[1]OUTWARD '!A185</f>
        <v>Plastic Accessory</v>
      </c>
      <c r="B185" s="2" t="str">
        <f>'[1]OUTWARD '!B185</f>
        <v>Bottom Stud Round Stand Black-Ff114</v>
      </c>
      <c r="C185" s="6">
        <f>'[1]INWARD TOTAL'!H185-'[1]OUTWARD '!C185</f>
        <v>9</v>
      </c>
      <c r="D185" s="2"/>
    </row>
    <row r="186" spans="1:5" x14ac:dyDescent="0.45">
      <c r="A186" s="2" t="str">
        <f>'[1]OUTWARD '!A186</f>
        <v>Plastic Accessory</v>
      </c>
      <c r="B186" s="2" t="str">
        <f>'[1]OUTWARD '!B186</f>
        <v>Hook-Black - 38mm-Alpha</v>
      </c>
      <c r="C186" s="6">
        <f>'[1]INWARD TOTAL'!H186-'[1]OUTWARD '!C186</f>
        <v>1300</v>
      </c>
      <c r="D186" s="2"/>
    </row>
    <row r="187" spans="1:5" x14ac:dyDescent="0.45">
      <c r="A187" s="2" t="str">
        <f>'[1]OUTWARD '!A187</f>
        <v xml:space="preserve">Furniture </v>
      </c>
      <c r="B187" s="2" t="str">
        <f>'[1]OUTWARD '!B187</f>
        <v>KITCHEN BASKET BIG</v>
      </c>
      <c r="C187" s="6">
        <f>'[1]INWARD TOTAL'!H187-'[1]OUTWARD '!C187</f>
        <v>60</v>
      </c>
      <c r="D187" s="2"/>
    </row>
    <row r="188" spans="1:5" x14ac:dyDescent="0.45">
      <c r="A188" s="2" t="str">
        <f>'[1]OUTWARD '!A188</f>
        <v>Poly</v>
      </c>
      <c r="B188" s="2" t="str">
        <f>'[1]OUTWARD '!B188</f>
        <v>PP WOVEN BAG_38"*34"_Printed</v>
      </c>
      <c r="C188" s="6">
        <f>'[1]INWARD TOTAL'!H188-'[1]OUTWARD '!C188</f>
        <v>1235</v>
      </c>
      <c r="D188" s="2"/>
    </row>
    <row r="189" spans="1:5" x14ac:dyDescent="0.45">
      <c r="A189" s="2" t="str">
        <f>'[1]OUTWARD '!A189</f>
        <v>Fabric</v>
      </c>
      <c r="B189" s="2" t="str">
        <f>'[1]OUTWARD '!B189</f>
        <v>PP Woven Silver Metpat Laminated 115 GSM</v>
      </c>
      <c r="C189" s="6">
        <f>'[1]INWARD TOTAL'!H189-'[1]OUTWARD '!C189</f>
        <v>33129.599999999999</v>
      </c>
      <c r="D189" s="2"/>
    </row>
    <row r="190" spans="1:5" x14ac:dyDescent="0.45">
      <c r="A190" s="2" t="str">
        <f>'[1]OUTWARD '!A190</f>
        <v>Tool</v>
      </c>
      <c r="B190" s="2" t="str">
        <f>'[1]OUTWARD '!B190</f>
        <v>SAMPLE FOLDER</v>
      </c>
      <c r="C190" s="6">
        <f>'[1]INWARD TOTAL'!H190-'[1]OUTWARD '!C190</f>
        <v>8</v>
      </c>
      <c r="D190" s="2"/>
    </row>
    <row r="191" spans="1:5" x14ac:dyDescent="0.45">
      <c r="A191" s="2" t="str">
        <f>'[1]OUTWARD '!A191</f>
        <v>Metal Accessory</v>
      </c>
      <c r="B191" s="2" t="str">
        <f>'[1]OUTWARD '!B191</f>
        <v>S.S WIRE 3mm</v>
      </c>
      <c r="C191" s="6">
        <f>'[1]INWARD TOTAL'!H191-'[1]OUTWARD '!C191</f>
        <v>468</v>
      </c>
      <c r="D191" s="2"/>
    </row>
    <row r="192" spans="1:5" x14ac:dyDescent="0.45">
      <c r="A192" s="2" t="str">
        <f>'[1]OUTWARD '!A192</f>
        <v>Metal Accessory</v>
      </c>
      <c r="B192" s="2" t="str">
        <f>'[1]OUTWARD '!B192</f>
        <v>STEEL RING</v>
      </c>
      <c r="C192" s="6">
        <f>'[1]INWARD TOTAL'!H192-'[1]OUTWARD '!C192</f>
        <v>500</v>
      </c>
      <c r="D192" s="2"/>
    </row>
    <row r="193" spans="1:4" x14ac:dyDescent="0.45">
      <c r="A193" s="2" t="str">
        <f>'[1]OUTWARD '!A193</f>
        <v>Machine</v>
      </c>
      <c r="B193" s="2" t="str">
        <f>'[1]OUTWARD '!B193</f>
        <v>WEB CONTROL MACHINE</v>
      </c>
      <c r="C193" s="6">
        <f>'[1]INWARD TOTAL'!H193-'[1]OUTWARD '!C193</f>
        <v>1</v>
      </c>
      <c r="D193" s="2"/>
    </row>
    <row r="194" spans="1:4" x14ac:dyDescent="0.45">
      <c r="A194" s="2" t="str">
        <f>'[1]OUTWARD '!A194</f>
        <v xml:space="preserve">Furniture </v>
      </c>
      <c r="B194" s="2" t="str">
        <f>'[1]OUTWARD '!B194</f>
        <v>WOODEN PALLET</v>
      </c>
      <c r="C194" s="6">
        <f>'[1]INWARD TOTAL'!H194-'[1]OUTWARD '!C194</f>
        <v>52</v>
      </c>
      <c r="D194" s="2"/>
    </row>
    <row r="195" spans="1:4" x14ac:dyDescent="0.45">
      <c r="A195" s="2" t="str">
        <f>'[1]OUTWARD '!A195</f>
        <v>ZIP</v>
      </c>
      <c r="B195" s="16" t="str">
        <f>'[1]OUTWARD '!B195</f>
        <v xml:space="preserve">5 NO. CFC GREEN 2.400 KG - 180 MTR </v>
      </c>
      <c r="C195" s="6">
        <f>'[1]INWARD TOTAL'!H195-'[1]OUTWARD '!C195</f>
        <v>17</v>
      </c>
      <c r="D195" s="2"/>
    </row>
    <row r="196" spans="1:4" x14ac:dyDescent="0.45">
      <c r="A196" s="2" t="str">
        <f>'[1]OUTWARD '!A196</f>
        <v>ZIP</v>
      </c>
      <c r="B196" s="16" t="str">
        <f>'[1]OUTWARD '!B196</f>
        <v xml:space="preserve">5 NO. CFC YELLOW 2.400 KG - 180 MTR </v>
      </c>
      <c r="C196" s="6">
        <f>'[1]INWARD TOTAL'!H196-'[1]OUTWARD '!C196</f>
        <v>5</v>
      </c>
      <c r="D196" s="2"/>
    </row>
    <row r="197" spans="1:4" x14ac:dyDescent="0.45">
      <c r="A197" s="2" t="str">
        <f>'[1]OUTWARD '!A197</f>
        <v>ZIP</v>
      </c>
      <c r="B197" s="16" t="str">
        <f>'[1]OUTWARD '!B197</f>
        <v xml:space="preserve">5 NO. CFC ORANGE 2.400 KG - 180 MTR </v>
      </c>
      <c r="C197" s="6">
        <f>'[1]INWARD TOTAL'!H197-'[1]OUTWARD '!C197</f>
        <v>10</v>
      </c>
      <c r="D197" s="2"/>
    </row>
    <row r="198" spans="1:4" x14ac:dyDescent="0.45">
      <c r="A198" s="2" t="str">
        <f>'[1]OUTWARD '!A198</f>
        <v>ZIP</v>
      </c>
      <c r="B198" s="16" t="str">
        <f>'[1]OUTWARD '!B198</f>
        <v xml:space="preserve">5 NO. CFC WHITE 2.400 KG - 180 MTR </v>
      </c>
      <c r="C198" s="6">
        <f>'[1]INWARD TOTAL'!H198-'[1]OUTWARD '!C198</f>
        <v>2</v>
      </c>
      <c r="D198" s="2"/>
    </row>
    <row r="199" spans="1:4" x14ac:dyDescent="0.45">
      <c r="A199" s="2" t="str">
        <f>'[1]OUTWARD '!A199</f>
        <v>ZIP</v>
      </c>
      <c r="B199" s="16" t="str">
        <f>'[1]OUTWARD '!B199</f>
        <v xml:space="preserve">5 NO. CFC RED 2.400 KG - 180 MTR </v>
      </c>
      <c r="C199" s="6">
        <f>'[1]INWARD TOTAL'!H199-'[1]OUTWARD '!C199</f>
        <v>1</v>
      </c>
      <c r="D199" s="2"/>
    </row>
    <row r="200" spans="1:4" x14ac:dyDescent="0.45">
      <c r="A200" s="2" t="str">
        <f>'[1]OUTWARD '!A200</f>
        <v>ZIP</v>
      </c>
      <c r="B200" s="16" t="str">
        <f>'[1]OUTWARD '!B200</f>
        <v xml:space="preserve">5 NO. CFC BLACK 2.400 KG - 180 MTR </v>
      </c>
      <c r="C200" s="6">
        <f>'[1]INWARD TOTAL'!H200-'[1]OUTWARD '!C200</f>
        <v>1</v>
      </c>
      <c r="D200" s="2"/>
    </row>
    <row r="201" spans="1:4" x14ac:dyDescent="0.45">
      <c r="A201" s="2" t="str">
        <f>'[1]OUTWARD '!A201</f>
        <v>ZIP</v>
      </c>
      <c r="B201" s="16" t="str">
        <f>'[1]OUTWARD '!B201</f>
        <v xml:space="preserve">5 NO. CFC BLUE 2.400 KG - 180 MTR </v>
      </c>
      <c r="C201" s="6">
        <f>'[1]INWARD TOTAL'!H201-'[1]OUTWARD '!C201</f>
        <v>13</v>
      </c>
      <c r="D201" s="2"/>
    </row>
    <row r="202" spans="1:4" x14ac:dyDescent="0.45">
      <c r="A202" s="2" t="str">
        <f>'[1]OUTWARD '!A202</f>
        <v>NIWAR</v>
      </c>
      <c r="B202" s="2" t="str">
        <f>'[1]OUTWARD '!B202</f>
        <v xml:space="preserve">DORI 5 PLY </v>
      </c>
      <c r="C202" s="6">
        <f>'[1]INWARD TOTAL'!H202-'[1]OUTWARD '!C202</f>
        <v>141</v>
      </c>
      <c r="D202" s="2"/>
    </row>
    <row r="203" spans="1:4" x14ac:dyDescent="0.45">
      <c r="A203" s="2" t="str">
        <f>'[1]OUTWARD '!A203</f>
        <v xml:space="preserve">Elastic </v>
      </c>
      <c r="B203" s="2" t="str">
        <f>'[1]OPENING STOCK 20 APRIL 26'!B203</f>
        <v>Knitted Elastic -30 mm Black</v>
      </c>
      <c r="C203" s="3">
        <f>'[1]INWARD TOTAL'!H203-'[1]OUTWARD '!C203</f>
        <v>0</v>
      </c>
      <c r="D203" s="2"/>
    </row>
    <row r="204" spans="1:4" x14ac:dyDescent="0.45">
      <c r="A204" s="2" t="str">
        <f>'[1]OUTWARD '!A204</f>
        <v xml:space="preserve">Hard Sheets </v>
      </c>
      <c r="B204" s="2"/>
      <c r="C204" s="6">
        <f>'[1]INWARD TOTAL'!H204-'[1]OUTWARD '!C204</f>
        <v>65000</v>
      </c>
      <c r="D204" s="2"/>
    </row>
    <row r="205" spans="1:4" x14ac:dyDescent="0.45">
      <c r="A205" s="2" t="str">
        <f>'[1]OUTWARD '!A205</f>
        <v xml:space="preserve">Hard Sheets </v>
      </c>
      <c r="B205" s="2"/>
      <c r="C205" s="6">
        <f>'[1]INWARD TOTAL'!H205-'[1]OUTWARD '!C205</f>
        <v>65900</v>
      </c>
      <c r="D205" s="2"/>
    </row>
    <row r="206" spans="1:4" x14ac:dyDescent="0.45">
      <c r="A206" s="2" t="str">
        <f>'[1]OUTWARD '!A206</f>
        <v>Fabric</v>
      </c>
      <c r="B206" s="2" t="str">
        <f>'[1]OUTWARD '!B206</f>
        <v xml:space="preserve">2X2 MATTY PVC LAMINATED BLACK </v>
      </c>
      <c r="C206" s="6">
        <f>'[1]INWARD TOTAL'!H206-'[1]OUTWARD '!C206</f>
        <v>7168</v>
      </c>
      <c r="D206" s="2"/>
    </row>
    <row r="207" spans="1:4" x14ac:dyDescent="0.45">
      <c r="A207" s="2" t="str">
        <f>'[1]OUTWARD '!A207</f>
        <v xml:space="preserve">HARD SHEETS </v>
      </c>
      <c r="B207" s="2" t="str">
        <f>'[1]OUTWARD '!B207</f>
        <v xml:space="preserve">FLUTE 336 X 280 - 4.8 MM - 700 GSM </v>
      </c>
      <c r="C207" s="6">
        <f>'[1]INWARD TOTAL'!H207-'[1]OUTWARD '!C207</f>
        <v>68909</v>
      </c>
      <c r="D207" s="2"/>
    </row>
    <row r="208" spans="1:4" x14ac:dyDescent="0.45">
      <c r="A208" s="2" t="str">
        <f>'[1]OUTWARD '!A208</f>
        <v xml:space="preserve">HARD SHEETS </v>
      </c>
      <c r="B208" s="2" t="str">
        <f>'[1]OUTWARD '!B208</f>
        <v xml:space="preserve">FLUTE 159 X 280 - 4.8 MM - 700 GSM </v>
      </c>
      <c r="C208" s="6">
        <f>'[1]INWARD TOTAL'!H208-'[1]OUTWARD '!C208</f>
        <v>140000</v>
      </c>
      <c r="D208" s="2"/>
    </row>
    <row r="209" spans="1:4" x14ac:dyDescent="0.45">
      <c r="A209" s="2" t="str">
        <f>'[1]OUTWARD '!A209</f>
        <v xml:space="preserve">Plastic Accesory </v>
      </c>
      <c r="B209" s="2" t="str">
        <f>'[1]OUTWARD '!B209</f>
        <v xml:space="preserve">D ring Flat - 25 mm Plastic </v>
      </c>
      <c r="C209" s="6">
        <f>'[1]INWARD TOTAL'!H209-'[1]OUTWARD '!C209</f>
        <v>230500</v>
      </c>
      <c r="D209" s="2"/>
    </row>
    <row r="210" spans="1:4" x14ac:dyDescent="0.45">
      <c r="A210" s="2" t="str">
        <f>'[1]OUTWARD '!A210</f>
        <v>Thread</v>
      </c>
      <c r="B210" s="2" t="str">
        <f>'[1]OUTWARD '!B210</f>
        <v xml:space="preserve">BAG CLOSURE THREAD 3 PLY </v>
      </c>
      <c r="C210" s="6">
        <f>'[1]INWARD TOTAL'!G210-'[1]OUTWARD '!C210</f>
        <v>200</v>
      </c>
      <c r="D210" s="2"/>
    </row>
    <row r="211" spans="1:4" x14ac:dyDescent="0.45">
      <c r="A211" s="2" t="str">
        <f>'[1]OUTWARD '!A211</f>
        <v>NIWAR</v>
      </c>
      <c r="B211" s="2" t="str">
        <f>'[1]OUTWARD '!B211</f>
        <v xml:space="preserve">25 MM PREMIUM SOFT 270 PER KG / 60 MTR </v>
      </c>
      <c r="C211" s="6">
        <f>'[1]INWARD TOTAL'!H211-'[1]OUTWARD '!C211</f>
        <v>0</v>
      </c>
      <c r="D211" s="2"/>
    </row>
    <row r="212" spans="1:4" x14ac:dyDescent="0.45">
      <c r="A212" s="2" t="str">
        <f>'[1]OUTWARD '!A212</f>
        <v xml:space="preserve">Hard Sheets </v>
      </c>
      <c r="B212" s="2" t="str">
        <f>'[1]OUTWARD '!B212</f>
        <v xml:space="preserve">1.PP CORRUGATED SHEET-356*292- 700 GSM- BLACK- . (BLK) </v>
      </c>
      <c r="C212" s="6">
        <f>'[1]INWARD TOTAL'!H212-'[1]OUTWARD '!C212</f>
        <v>0</v>
      </c>
      <c r="D212" s="2"/>
    </row>
    <row r="213" spans="1:4" x14ac:dyDescent="0.45">
      <c r="A213" s="2" t="str">
        <f>'[1]OUTWARD '!A213</f>
        <v xml:space="preserve">Hard Sheets </v>
      </c>
      <c r="B213" s="2" t="str">
        <f>'[1]OUTWARD '!B213</f>
        <v>2. PP CORRUGATED SHEET-464*368- 700 GSM- BLACK- . (BLK)</v>
      </c>
      <c r="C213" s="6">
        <f>'[1]INWARD TOTAL'!H213-'[1]OUTWARD '!C213</f>
        <v>0</v>
      </c>
      <c r="D213" s="2"/>
    </row>
    <row r="214" spans="1:4" x14ac:dyDescent="0.45">
      <c r="A214" s="2" t="str">
        <f>'[1]OUTWARD '!A214</f>
        <v xml:space="preserve">Hard Sheets </v>
      </c>
      <c r="B214" s="2" t="str">
        <f>'[1]OUTWARD '!B214</f>
        <v>3. PP CORRUGATED SHEET-465*140- 700 GSM- BLACK-  Pcs. (BLK)</v>
      </c>
      <c r="C214" s="6">
        <f>'[1]INWARD TOTAL'!H214-'[1]OUTWARD '!C214</f>
        <v>0</v>
      </c>
      <c r="D214" s="2"/>
    </row>
    <row r="215" spans="1:4" x14ac:dyDescent="0.45">
      <c r="A215" s="2" t="str">
        <f>'[1]OUTWARD '!A215</f>
        <v>Fabric</v>
      </c>
      <c r="B215" s="2" t="str">
        <f>'[1]OUTWARD '!B215</f>
        <v xml:space="preserve">LINER 14 KG QUALITY BLACK </v>
      </c>
      <c r="C215" s="6">
        <f>'[1]INWARD TOTAL'!H215-'[1]OUTWARD '!C215</f>
        <v>0</v>
      </c>
      <c r="D215" s="2"/>
    </row>
    <row r="216" spans="1:4" x14ac:dyDescent="0.45">
      <c r="A216" s="2" t="str">
        <f>'[1]OUTWARD '!A216</f>
        <v xml:space="preserve">Hard Sheets </v>
      </c>
      <c r="B216" s="2" t="str">
        <f>'[1]OUTWARD '!B216</f>
        <v xml:space="preserve">PP CORRUGATED SHEET-305*305- 900 GSM- Virgin - Black </v>
      </c>
      <c r="C216" s="6">
        <f>'[1]INWARD TOTAL'!H216-'[1]OUTWARD '!C216</f>
        <v>0</v>
      </c>
      <c r="D216" s="2"/>
    </row>
    <row r="217" spans="1:4" x14ac:dyDescent="0.45">
      <c r="A217" s="2" t="str">
        <f>'[1]OUTWARD '!A217</f>
        <v>NIWAR</v>
      </c>
      <c r="B217" s="2" t="str">
        <f>'[1]OUTWARD '!B217</f>
        <v xml:space="preserve">PP NIWAR 25 MM 4.67 GRAM / 200 MTR PER KG BLACK </v>
      </c>
      <c r="C217" s="6">
        <f>'[1]INWARD TOTAL'!H217-'[1]OUTWARD '!C217</f>
        <v>-747.6400000000001</v>
      </c>
    </row>
    <row r="218" spans="1:4" x14ac:dyDescent="0.45">
      <c r="A218" s="2" t="str">
        <f>'[1]OUTWARD '!A218</f>
        <v>ZIP</v>
      </c>
      <c r="B218" s="2" t="str">
        <f>'[1]OUTWARD '!B218</f>
        <v xml:space="preserve">YKK BLACK - 5 NO. - RC CFC- 200 MTR PER BUNDLE </v>
      </c>
      <c r="C218" s="6">
        <f>'[1]INWARD TOTAL'!H218-'[1]OUTWARD '!C218</f>
        <v>0</v>
      </c>
    </row>
    <row r="219" spans="1:4" x14ac:dyDescent="0.45">
      <c r="A219" s="2" t="str">
        <f>'[1]OUTWARD '!A219</f>
        <v>Metal Accessory</v>
      </c>
      <c r="B219" s="2" t="str">
        <f>'[1]OUTWARD '!B219</f>
        <v>YKK SLIDER RC 5 NO. CFC REVERSE BODY DFB2WEJ</v>
      </c>
      <c r="C219" s="6">
        <f>'[1]INWARD TOTAL'!H219-'[1]OUTWARD '!C219</f>
        <v>800</v>
      </c>
    </row>
    <row r="220" spans="1:4" x14ac:dyDescent="0.45">
      <c r="A220" s="2" t="str">
        <f>'[1]OUTWARD '!A220</f>
        <v>Metal Accessory</v>
      </c>
      <c r="B220" s="2" t="str">
        <f>'[1]OUTWARD '!B220</f>
        <v xml:space="preserve">YKK SLIDER RC 5 NO. CFC REVERSE BODY DFB2WEJ- SHORT PULLER </v>
      </c>
      <c r="C220" s="6">
        <f>'[1]INWARD TOTAL'!H220-'[1]OUTWARD '!C220</f>
        <v>3100</v>
      </c>
    </row>
    <row r="221" spans="1:4" x14ac:dyDescent="0.45">
      <c r="B221" s="2"/>
      <c r="C221" s="12"/>
    </row>
    <row r="222" spans="1:4" x14ac:dyDescent="0.45">
      <c r="C222" s="12"/>
    </row>
    <row r="223" spans="1:4" x14ac:dyDescent="0.45">
      <c r="C223" s="12"/>
    </row>
    <row r="224" spans="1:4" x14ac:dyDescent="0.45">
      <c r="C224" s="12"/>
    </row>
    <row r="225" spans="3:3" x14ac:dyDescent="0.45">
      <c r="C225" s="12"/>
    </row>
    <row r="226" spans="3:3" x14ac:dyDescent="0.45">
      <c r="C226" s="12"/>
    </row>
    <row r="227" spans="3:3" x14ac:dyDescent="0.45">
      <c r="C227" s="12"/>
    </row>
    <row r="228" spans="3:3" x14ac:dyDescent="0.45">
      <c r="C228" s="12"/>
    </row>
    <row r="229" spans="3:3" x14ac:dyDescent="0.45">
      <c r="C229" s="12"/>
    </row>
    <row r="230" spans="3:3" x14ac:dyDescent="0.45">
      <c r="C230" s="12"/>
    </row>
    <row r="231" spans="3:3" x14ac:dyDescent="0.45">
      <c r="C231" s="12"/>
    </row>
    <row r="232" spans="3:3" x14ac:dyDescent="0.45">
      <c r="C232" s="12"/>
    </row>
    <row r="233" spans="3:3" x14ac:dyDescent="0.45">
      <c r="C233" s="12"/>
    </row>
    <row r="234" spans="3:3" x14ac:dyDescent="0.45">
      <c r="C234" s="12"/>
    </row>
    <row r="235" spans="3:3" x14ac:dyDescent="0.45">
      <c r="C235" s="12"/>
    </row>
    <row r="236" spans="3:3" x14ac:dyDescent="0.45">
      <c r="C236" s="12"/>
    </row>
    <row r="237" spans="3:3" x14ac:dyDescent="0.45">
      <c r="C237" s="12"/>
    </row>
    <row r="238" spans="3:3" x14ac:dyDescent="0.45">
      <c r="C238" s="12"/>
    </row>
    <row r="239" spans="3:3" x14ac:dyDescent="0.45">
      <c r="C239" s="12"/>
    </row>
    <row r="240" spans="3:3" x14ac:dyDescent="0.45">
      <c r="C240" s="12"/>
    </row>
    <row r="241" spans="3:3" x14ac:dyDescent="0.45">
      <c r="C241" s="12"/>
    </row>
    <row r="242" spans="3:3" x14ac:dyDescent="0.45">
      <c r="C242" s="12"/>
    </row>
    <row r="243" spans="3:3" x14ac:dyDescent="0.45">
      <c r="C243" s="12"/>
    </row>
    <row r="244" spans="3:3" x14ac:dyDescent="0.45">
      <c r="C244" s="12"/>
    </row>
    <row r="245" spans="3:3" x14ac:dyDescent="0.45">
      <c r="C245" s="12"/>
    </row>
    <row r="246" spans="3:3" x14ac:dyDescent="0.45">
      <c r="C246" s="12"/>
    </row>
    <row r="247" spans="3:3" x14ac:dyDescent="0.45">
      <c r="C247" s="12"/>
    </row>
    <row r="248" spans="3:3" x14ac:dyDescent="0.45">
      <c r="C248" s="12"/>
    </row>
    <row r="249" spans="3:3" x14ac:dyDescent="0.45">
      <c r="C249" s="12"/>
    </row>
    <row r="250" spans="3:3" x14ac:dyDescent="0.45">
      <c r="C250" s="12"/>
    </row>
    <row r="251" spans="3:3" x14ac:dyDescent="0.45">
      <c r="C251" s="12"/>
    </row>
    <row r="252" spans="3:3" x14ac:dyDescent="0.45">
      <c r="C252" s="12"/>
    </row>
    <row r="253" spans="3:3" x14ac:dyDescent="0.45">
      <c r="C253" s="12"/>
    </row>
    <row r="254" spans="3:3" x14ac:dyDescent="0.45">
      <c r="C254" s="12"/>
    </row>
    <row r="255" spans="3:3" x14ac:dyDescent="0.45">
      <c r="C255" s="12"/>
    </row>
    <row r="256" spans="3:3" x14ac:dyDescent="0.45">
      <c r="C256" s="12"/>
    </row>
    <row r="257" spans="3:3" x14ac:dyDescent="0.45">
      <c r="C257" s="12"/>
    </row>
    <row r="258" spans="3:3" x14ac:dyDescent="0.45">
      <c r="C258" s="12"/>
    </row>
    <row r="259" spans="3:3" x14ac:dyDescent="0.45">
      <c r="C259" s="12"/>
    </row>
    <row r="260" spans="3:3" x14ac:dyDescent="0.45">
      <c r="C260" s="12"/>
    </row>
    <row r="261" spans="3:3" x14ac:dyDescent="0.45">
      <c r="C261" s="12"/>
    </row>
    <row r="262" spans="3:3" x14ac:dyDescent="0.45">
      <c r="C262" s="12"/>
    </row>
    <row r="263" spans="3:3" x14ac:dyDescent="0.45">
      <c r="C263" s="12"/>
    </row>
    <row r="264" spans="3:3" x14ac:dyDescent="0.45">
      <c r="C264" s="12"/>
    </row>
    <row r="265" spans="3:3" x14ac:dyDescent="0.45">
      <c r="C265" s="12"/>
    </row>
    <row r="266" spans="3:3" x14ac:dyDescent="0.45">
      <c r="C266" s="12"/>
    </row>
    <row r="267" spans="3:3" x14ac:dyDescent="0.45">
      <c r="C267" s="12"/>
    </row>
    <row r="268" spans="3:3" x14ac:dyDescent="0.45">
      <c r="C268" s="12"/>
    </row>
    <row r="269" spans="3:3" x14ac:dyDescent="0.45">
      <c r="C269" s="12"/>
    </row>
    <row r="270" spans="3:3" x14ac:dyDescent="0.45">
      <c r="C270" s="12"/>
    </row>
    <row r="271" spans="3:3" x14ac:dyDescent="0.45">
      <c r="C271" s="12"/>
    </row>
    <row r="272" spans="3:3" x14ac:dyDescent="0.45">
      <c r="C272" s="12"/>
    </row>
    <row r="273" spans="3:3" x14ac:dyDescent="0.45">
      <c r="C273" s="12"/>
    </row>
    <row r="274" spans="3:3" x14ac:dyDescent="0.45">
      <c r="C274" s="12"/>
    </row>
    <row r="275" spans="3:3" x14ac:dyDescent="0.45">
      <c r="C275" s="12"/>
    </row>
    <row r="276" spans="3:3" x14ac:dyDescent="0.45">
      <c r="C276" s="12"/>
    </row>
    <row r="277" spans="3:3" x14ac:dyDescent="0.45">
      <c r="C277" s="12"/>
    </row>
    <row r="278" spans="3:3" x14ac:dyDescent="0.45">
      <c r="C278" s="12"/>
    </row>
    <row r="279" spans="3:3" x14ac:dyDescent="0.45">
      <c r="C279" s="12"/>
    </row>
    <row r="280" spans="3:3" x14ac:dyDescent="0.45">
      <c r="C280" s="12"/>
    </row>
    <row r="281" spans="3:3" x14ac:dyDescent="0.45">
      <c r="C281" s="12"/>
    </row>
    <row r="282" spans="3:3" x14ac:dyDescent="0.45">
      <c r="C282" s="12"/>
    </row>
    <row r="283" spans="3:3" x14ac:dyDescent="0.45">
      <c r="C283" s="12"/>
    </row>
    <row r="284" spans="3:3" x14ac:dyDescent="0.45">
      <c r="C284" s="12"/>
    </row>
    <row r="285" spans="3:3" x14ac:dyDescent="0.45">
      <c r="C285" s="12"/>
    </row>
    <row r="286" spans="3:3" x14ac:dyDescent="0.45">
      <c r="C286" s="12"/>
    </row>
    <row r="287" spans="3:3" x14ac:dyDescent="0.45">
      <c r="C287" s="12"/>
    </row>
    <row r="288" spans="3:3" x14ac:dyDescent="0.45">
      <c r="C288" s="12"/>
    </row>
    <row r="289" spans="3:3" x14ac:dyDescent="0.45">
      <c r="C289" s="12"/>
    </row>
    <row r="290" spans="3:3" x14ac:dyDescent="0.45">
      <c r="C290" s="12"/>
    </row>
    <row r="291" spans="3:3" x14ac:dyDescent="0.45">
      <c r="C291" s="12"/>
    </row>
    <row r="292" spans="3:3" x14ac:dyDescent="0.45">
      <c r="C292" s="12"/>
    </row>
    <row r="293" spans="3:3" x14ac:dyDescent="0.45">
      <c r="C293" s="12"/>
    </row>
    <row r="294" spans="3:3" x14ac:dyDescent="0.45">
      <c r="C294" s="12"/>
    </row>
    <row r="295" spans="3:3" x14ac:dyDescent="0.45">
      <c r="C295" s="12"/>
    </row>
    <row r="296" spans="3:3" x14ac:dyDescent="0.45">
      <c r="C296" s="12"/>
    </row>
    <row r="297" spans="3:3" x14ac:dyDescent="0.45">
      <c r="C297" s="12"/>
    </row>
    <row r="298" spans="3:3" x14ac:dyDescent="0.45">
      <c r="C298" s="12"/>
    </row>
    <row r="299" spans="3:3" x14ac:dyDescent="0.45">
      <c r="C299" s="12"/>
    </row>
    <row r="300" spans="3:3" x14ac:dyDescent="0.45">
      <c r="C300" s="12"/>
    </row>
    <row r="301" spans="3:3" x14ac:dyDescent="0.45">
      <c r="C301" s="12"/>
    </row>
    <row r="302" spans="3:3" x14ac:dyDescent="0.45">
      <c r="C302" s="12"/>
    </row>
    <row r="303" spans="3:3" x14ac:dyDescent="0.45">
      <c r="C303" s="12"/>
    </row>
    <row r="304" spans="3:3" x14ac:dyDescent="0.45">
      <c r="C304" s="12"/>
    </row>
    <row r="305" spans="3:3" x14ac:dyDescent="0.45">
      <c r="C305" s="12"/>
    </row>
    <row r="306" spans="3:3" x14ac:dyDescent="0.45">
      <c r="C306" s="12"/>
    </row>
    <row r="307" spans="3:3" x14ac:dyDescent="0.45">
      <c r="C307" s="12"/>
    </row>
    <row r="308" spans="3:3" x14ac:dyDescent="0.45">
      <c r="C308" s="12"/>
    </row>
    <row r="309" spans="3:3" x14ac:dyDescent="0.45">
      <c r="C309" s="12"/>
    </row>
    <row r="310" spans="3:3" x14ac:dyDescent="0.45">
      <c r="C310" s="12"/>
    </row>
    <row r="311" spans="3:3" x14ac:dyDescent="0.45">
      <c r="C311" s="12"/>
    </row>
    <row r="312" spans="3:3" x14ac:dyDescent="0.45">
      <c r="C312" s="12"/>
    </row>
    <row r="313" spans="3:3" x14ac:dyDescent="0.45">
      <c r="C313" s="12"/>
    </row>
    <row r="314" spans="3:3" x14ac:dyDescent="0.45">
      <c r="C314" s="12"/>
    </row>
    <row r="315" spans="3:3" x14ac:dyDescent="0.45">
      <c r="C315" s="12"/>
    </row>
    <row r="316" spans="3:3" x14ac:dyDescent="0.45">
      <c r="C316" s="12"/>
    </row>
    <row r="317" spans="3:3" x14ac:dyDescent="0.45">
      <c r="C317" s="12"/>
    </row>
    <row r="318" spans="3:3" x14ac:dyDescent="0.45">
      <c r="C318" s="12"/>
    </row>
    <row r="319" spans="3:3" x14ac:dyDescent="0.45">
      <c r="C319" s="12"/>
    </row>
    <row r="320" spans="3:3" x14ac:dyDescent="0.45">
      <c r="C320" s="12"/>
    </row>
    <row r="321" spans="1:3" x14ac:dyDescent="0.45">
      <c r="C321" s="12"/>
    </row>
    <row r="322" spans="1:3" x14ac:dyDescent="0.45">
      <c r="C322" s="12"/>
    </row>
    <row r="323" spans="1:3" x14ac:dyDescent="0.45">
      <c r="C323" s="12"/>
    </row>
    <row r="324" spans="1:3" x14ac:dyDescent="0.45">
      <c r="C324" s="12"/>
    </row>
    <row r="325" spans="1:3" x14ac:dyDescent="0.45">
      <c r="C325" s="12"/>
    </row>
    <row r="326" spans="1:3" x14ac:dyDescent="0.45">
      <c r="C326" s="12"/>
    </row>
    <row r="327" spans="1:3" x14ac:dyDescent="0.45">
      <c r="C327" s="12"/>
    </row>
    <row r="328" spans="1:3" x14ac:dyDescent="0.45">
      <c r="C328" s="12"/>
    </row>
    <row r="329" spans="1:3" x14ac:dyDescent="0.45">
      <c r="C329" s="12"/>
    </row>
    <row r="330" spans="1:3" x14ac:dyDescent="0.45">
      <c r="C330" s="12"/>
    </row>
    <row r="331" spans="1:3" x14ac:dyDescent="0.45">
      <c r="A331">
        <f>'[1]OUTWARD '!A331</f>
        <v>0</v>
      </c>
      <c r="B331">
        <f>'[1]OUTWARD '!B331</f>
        <v>0</v>
      </c>
      <c r="C331" s="12">
        <f>'[1]OPENING STOCK 20 APRIL 26'!C331+'[1]INWARD TOTAL'!H331-'[1]OUTWARD '!C331</f>
        <v>0</v>
      </c>
    </row>
    <row r="332" spans="1:3" x14ac:dyDescent="0.45">
      <c r="A332">
        <f>'[1]OUTWARD '!A332</f>
        <v>0</v>
      </c>
      <c r="B332">
        <f>'[1]OUTWARD '!B332</f>
        <v>0</v>
      </c>
      <c r="C332" s="12">
        <f>'[1]INWARD TOTAL'!H332-'[1]OUTWARD '!C332</f>
        <v>0</v>
      </c>
    </row>
    <row r="333" spans="1:3" x14ac:dyDescent="0.45">
      <c r="A333">
        <f>'[1]OUTWARD '!A333</f>
        <v>0</v>
      </c>
      <c r="B333">
        <f>'[1]OUTWARD '!B333</f>
        <v>0</v>
      </c>
      <c r="C333">
        <f>'[1]OUTWARD '!C333</f>
        <v>0</v>
      </c>
    </row>
    <row r="334" spans="1:3" x14ac:dyDescent="0.45">
      <c r="A334">
        <f>'[1]OUTWARD '!A334</f>
        <v>0</v>
      </c>
      <c r="B334">
        <f>'[1]OUTWARD '!B334</f>
        <v>0</v>
      </c>
      <c r="C334">
        <f>'[1]OUTWARD '!C334</f>
        <v>0</v>
      </c>
    </row>
    <row r="335" spans="1:3" x14ac:dyDescent="0.45">
      <c r="A335">
        <f>'[1]OUTWARD '!A335</f>
        <v>0</v>
      </c>
      <c r="B335">
        <f>'[1]OUTWARD '!B335</f>
        <v>0</v>
      </c>
      <c r="C335">
        <f>'[1]OUTWARD '!C335</f>
        <v>0</v>
      </c>
    </row>
    <row r="336" spans="1:3" x14ac:dyDescent="0.45">
      <c r="A336">
        <f>'[1]OUTWARD '!A336</f>
        <v>0</v>
      </c>
      <c r="B336">
        <f>'[1]OUTWARD '!B336</f>
        <v>0</v>
      </c>
      <c r="C336">
        <f>'[1]OUTWARD '!C336</f>
        <v>0</v>
      </c>
    </row>
    <row r="337" spans="1:3" x14ac:dyDescent="0.45">
      <c r="A337">
        <f>'[1]OUTWARD '!A337</f>
        <v>0</v>
      </c>
      <c r="B337">
        <f>'[1]OUTWARD '!B337</f>
        <v>0</v>
      </c>
      <c r="C337">
        <f>'[1]OUTWARD '!C337</f>
        <v>0</v>
      </c>
    </row>
    <row r="338" spans="1:3" x14ac:dyDescent="0.45">
      <c r="A338">
        <f>'[1]OUTWARD '!A338</f>
        <v>0</v>
      </c>
      <c r="B338">
        <f>'[1]OUTWARD '!B338</f>
        <v>0</v>
      </c>
      <c r="C338">
        <f>'[1]OUTWARD '!C338</f>
        <v>0</v>
      </c>
    </row>
    <row r="339" spans="1:3" x14ac:dyDescent="0.45">
      <c r="A339">
        <f>'[1]OUTWARD '!A339</f>
        <v>0</v>
      </c>
      <c r="B339">
        <f>'[1]OUTWARD '!B339</f>
        <v>0</v>
      </c>
      <c r="C339">
        <f>'[1]OUTWARD '!C339</f>
        <v>0</v>
      </c>
    </row>
    <row r="340" spans="1:3" x14ac:dyDescent="0.45">
      <c r="A340">
        <f>'[1]OUTWARD '!A340</f>
        <v>0</v>
      </c>
      <c r="B340">
        <f>'[1]OUTWARD '!B340</f>
        <v>0</v>
      </c>
      <c r="C340">
        <f>'[1]OUTWARD '!C340</f>
        <v>0</v>
      </c>
    </row>
    <row r="341" spans="1:3" x14ac:dyDescent="0.45">
      <c r="A341">
        <f>'[1]OUTWARD '!A341</f>
        <v>0</v>
      </c>
      <c r="B341">
        <f>'[1]OUTWARD '!B341</f>
        <v>0</v>
      </c>
      <c r="C341">
        <f>'[1]OUTWARD '!C341</f>
        <v>0</v>
      </c>
    </row>
    <row r="342" spans="1:3" x14ac:dyDescent="0.45">
      <c r="A342">
        <f>'[1]OUTWARD '!A342</f>
        <v>0</v>
      </c>
      <c r="B342">
        <f>'[1]OUTWARD '!B342</f>
        <v>0</v>
      </c>
      <c r="C342">
        <f>'[1]OUTWARD '!C342</f>
        <v>0</v>
      </c>
    </row>
    <row r="343" spans="1:3" x14ac:dyDescent="0.45">
      <c r="A343">
        <f>'[1]OUTWARD '!A343</f>
        <v>0</v>
      </c>
      <c r="B343">
        <f>'[1]OUTWARD '!B343</f>
        <v>0</v>
      </c>
      <c r="C343">
        <f>'[1]OUTWARD '!C343</f>
        <v>0</v>
      </c>
    </row>
    <row r="344" spans="1:3" x14ac:dyDescent="0.45">
      <c r="A344">
        <f>'[1]OUTWARD '!A344</f>
        <v>0</v>
      </c>
      <c r="B344">
        <f>'[1]OUTWARD '!B344</f>
        <v>0</v>
      </c>
      <c r="C344">
        <f>'[1]OUTWARD '!C344</f>
        <v>0</v>
      </c>
    </row>
    <row r="345" spans="1:3" x14ac:dyDescent="0.45">
      <c r="A345">
        <f>'[1]OUTWARD '!A345</f>
        <v>0</v>
      </c>
      <c r="B345">
        <f>'[1]OUTWARD '!B345</f>
        <v>0</v>
      </c>
      <c r="C345">
        <f>'[1]OUTWARD '!C345</f>
        <v>0</v>
      </c>
    </row>
    <row r="346" spans="1:3" x14ac:dyDescent="0.45">
      <c r="A346">
        <f>'[1]OUTWARD '!A346</f>
        <v>0</v>
      </c>
      <c r="B346">
        <f>'[1]OUTWARD '!B346</f>
        <v>0</v>
      </c>
      <c r="C346">
        <f>'[1]OUTWARD '!C346</f>
        <v>0</v>
      </c>
    </row>
    <row r="347" spans="1:3" x14ac:dyDescent="0.45">
      <c r="A347">
        <f>'[1]OUTWARD '!A347</f>
        <v>0</v>
      </c>
      <c r="B347">
        <f>'[1]OUTWARD '!B347</f>
        <v>0</v>
      </c>
      <c r="C347">
        <f>'[1]OUTWARD '!C347</f>
        <v>0</v>
      </c>
    </row>
    <row r="348" spans="1:3" x14ac:dyDescent="0.45">
      <c r="A348">
        <f>'[1]OUTWARD '!A348</f>
        <v>0</v>
      </c>
      <c r="B348">
        <f>'[1]OUTWARD '!B348</f>
        <v>0</v>
      </c>
      <c r="C348">
        <f>'[1]OUTWARD '!C348</f>
        <v>0</v>
      </c>
    </row>
    <row r="349" spans="1:3" x14ac:dyDescent="0.45">
      <c r="A349">
        <f>'[1]OUTWARD '!A349</f>
        <v>0</v>
      </c>
      <c r="B349">
        <f>'[1]OUTWARD '!B349</f>
        <v>0</v>
      </c>
      <c r="C349">
        <f>'[1]OUTWARD '!C349</f>
        <v>0</v>
      </c>
    </row>
    <row r="350" spans="1:3" x14ac:dyDescent="0.45">
      <c r="A350">
        <f>'[1]OUTWARD '!A350</f>
        <v>0</v>
      </c>
      <c r="B350">
        <f>'[1]OUTWARD '!B350</f>
        <v>0</v>
      </c>
      <c r="C350">
        <f>'[1]OUTWARD '!C350</f>
        <v>0</v>
      </c>
    </row>
    <row r="351" spans="1:3" x14ac:dyDescent="0.45">
      <c r="A351">
        <f>'[1]OUTWARD '!A351</f>
        <v>0</v>
      </c>
      <c r="B351">
        <f>'[1]OUTWARD '!B351</f>
        <v>0</v>
      </c>
      <c r="C351">
        <f>'[1]OUTWARD '!C351</f>
        <v>0</v>
      </c>
    </row>
    <row r="352" spans="1:3" x14ac:dyDescent="0.45">
      <c r="A352">
        <f>'[1]OUTWARD '!A352</f>
        <v>0</v>
      </c>
      <c r="B352">
        <f>'[1]OUTWARD '!B352</f>
        <v>0</v>
      </c>
      <c r="C352">
        <f>'[1]OUTWARD '!C352</f>
        <v>0</v>
      </c>
    </row>
    <row r="353" spans="1:3" x14ac:dyDescent="0.45">
      <c r="A353">
        <f>'[1]OUTWARD '!A353</f>
        <v>0</v>
      </c>
      <c r="B353">
        <f>'[1]OUTWARD '!B353</f>
        <v>0</v>
      </c>
      <c r="C353">
        <f>'[1]OUTWARD '!C353</f>
        <v>0</v>
      </c>
    </row>
    <row r="354" spans="1:3" x14ac:dyDescent="0.45">
      <c r="A354">
        <f>'[1]OUTWARD '!A354</f>
        <v>0</v>
      </c>
      <c r="B354">
        <f>'[1]OUTWARD '!B354</f>
        <v>0</v>
      </c>
      <c r="C354">
        <f>'[1]OUTWARD '!C354</f>
        <v>0</v>
      </c>
    </row>
    <row r="355" spans="1:3" x14ac:dyDescent="0.45">
      <c r="A355">
        <f>'[1]OUTWARD '!A355</f>
        <v>0</v>
      </c>
      <c r="B355">
        <f>'[1]OUTWARD '!B355</f>
        <v>0</v>
      </c>
      <c r="C355">
        <f>'[1]OUTWARD '!C355</f>
        <v>0</v>
      </c>
    </row>
    <row r="356" spans="1:3" x14ac:dyDescent="0.45">
      <c r="A356">
        <f>'[1]OUTWARD '!A356</f>
        <v>0</v>
      </c>
      <c r="B356">
        <f>'[1]OUTWARD '!B356</f>
        <v>0</v>
      </c>
      <c r="C356">
        <f>'[1]OUTWARD '!C356</f>
        <v>0</v>
      </c>
    </row>
    <row r="357" spans="1:3" x14ac:dyDescent="0.45">
      <c r="A357">
        <f>'[1]OUTWARD '!A357</f>
        <v>0</v>
      </c>
      <c r="B357">
        <f>'[1]OUTWARD '!B357</f>
        <v>0</v>
      </c>
      <c r="C357">
        <f>'[1]OUTWARD '!C357</f>
        <v>0</v>
      </c>
    </row>
    <row r="358" spans="1:3" x14ac:dyDescent="0.45">
      <c r="A358">
        <f>'[1]OUTWARD '!A358</f>
        <v>0</v>
      </c>
      <c r="B358">
        <f>'[1]OUTWARD '!B358</f>
        <v>0</v>
      </c>
      <c r="C358">
        <f>'[1]OUTWARD '!C358</f>
        <v>0</v>
      </c>
    </row>
    <row r="359" spans="1:3" x14ac:dyDescent="0.45">
      <c r="A359">
        <f>'[1]OUTWARD '!A359</f>
        <v>0</v>
      </c>
      <c r="B359">
        <f>'[1]OUTWARD '!B359</f>
        <v>0</v>
      </c>
      <c r="C359">
        <f>'[1]OUTWARD '!C359</f>
        <v>0</v>
      </c>
    </row>
    <row r="360" spans="1:3" x14ac:dyDescent="0.45">
      <c r="A360">
        <f>'[1]OUTWARD '!A360</f>
        <v>0</v>
      </c>
      <c r="B360">
        <f>'[1]OUTWARD '!B360</f>
        <v>0</v>
      </c>
      <c r="C360">
        <f>'[1]OUTWARD '!C360</f>
        <v>0</v>
      </c>
    </row>
    <row r="361" spans="1:3" x14ac:dyDescent="0.45">
      <c r="A361">
        <f>'[1]OUTWARD '!A361</f>
        <v>0</v>
      </c>
      <c r="B361">
        <f>'[1]OUTWARD '!B361</f>
        <v>0</v>
      </c>
      <c r="C361">
        <f>'[1]OUTWARD '!C361</f>
        <v>0</v>
      </c>
    </row>
    <row r="362" spans="1:3" x14ac:dyDescent="0.45">
      <c r="A362">
        <f>'[1]OUTWARD '!A362</f>
        <v>0</v>
      </c>
      <c r="B362">
        <f>'[1]OUTWARD '!B362</f>
        <v>0</v>
      </c>
      <c r="C362">
        <f>'[1]OUTWARD '!C362</f>
        <v>0</v>
      </c>
    </row>
    <row r="363" spans="1:3" x14ac:dyDescent="0.45">
      <c r="A363">
        <f>'[1]OUTWARD '!A363</f>
        <v>0</v>
      </c>
      <c r="B363">
        <f>'[1]OUTWARD '!B363</f>
        <v>0</v>
      </c>
      <c r="C363">
        <f>'[1]OUTWARD '!C363</f>
        <v>0</v>
      </c>
    </row>
    <row r="364" spans="1:3" x14ac:dyDescent="0.45">
      <c r="A364">
        <f>'[1]OUTWARD '!A364</f>
        <v>0</v>
      </c>
      <c r="B364">
        <f>'[1]OUTWARD '!B364</f>
        <v>0</v>
      </c>
      <c r="C364">
        <f>'[1]OUTWARD '!C364</f>
        <v>0</v>
      </c>
    </row>
    <row r="365" spans="1:3" x14ac:dyDescent="0.45">
      <c r="A365">
        <f>'[1]OUTWARD '!A365</f>
        <v>0</v>
      </c>
      <c r="B365">
        <f>'[1]OUTWARD '!B365</f>
        <v>0</v>
      </c>
      <c r="C365">
        <f>'[1]OUTWARD '!C365</f>
        <v>0</v>
      </c>
    </row>
    <row r="366" spans="1:3" x14ac:dyDescent="0.45">
      <c r="A366">
        <f>'[1]OUTWARD '!A366</f>
        <v>0</v>
      </c>
      <c r="B366">
        <f>'[1]OUTWARD '!B366</f>
        <v>0</v>
      </c>
      <c r="C366">
        <f>'[1]OUTWARD '!C366</f>
        <v>0</v>
      </c>
    </row>
    <row r="367" spans="1:3" x14ac:dyDescent="0.45">
      <c r="A367">
        <f>'[1]OUTWARD '!A367</f>
        <v>0</v>
      </c>
      <c r="B367">
        <f>'[1]OUTWARD '!B367</f>
        <v>0</v>
      </c>
      <c r="C367">
        <f>'[1]OUTWARD '!C367</f>
        <v>0</v>
      </c>
    </row>
    <row r="368" spans="1:3" x14ac:dyDescent="0.45">
      <c r="A368">
        <f>'[1]OUTWARD '!A368</f>
        <v>0</v>
      </c>
      <c r="B368">
        <f>'[1]OUTWARD '!B368</f>
        <v>0</v>
      </c>
      <c r="C368">
        <f>'[1]OUTWARD '!C368</f>
        <v>0</v>
      </c>
    </row>
    <row r="369" spans="1:3" x14ac:dyDescent="0.45">
      <c r="A369">
        <f>'[1]OUTWARD '!A369</f>
        <v>0</v>
      </c>
      <c r="B369">
        <f>'[1]OUTWARD '!B369</f>
        <v>0</v>
      </c>
      <c r="C369">
        <f>'[1]OUTWARD '!C369</f>
        <v>0</v>
      </c>
    </row>
    <row r="370" spans="1:3" x14ac:dyDescent="0.45">
      <c r="A370">
        <f>'[1]OUTWARD '!A370</f>
        <v>0</v>
      </c>
      <c r="B370">
        <f>'[1]OUTWARD '!B370</f>
        <v>0</v>
      </c>
      <c r="C370">
        <f>'[1]OUTWARD '!C370</f>
        <v>0</v>
      </c>
    </row>
    <row r="371" spans="1:3" x14ac:dyDescent="0.45">
      <c r="A371">
        <f>'[1]OUTWARD '!A371</f>
        <v>0</v>
      </c>
      <c r="B371">
        <f>'[1]OUTWARD '!B371</f>
        <v>0</v>
      </c>
      <c r="C371">
        <f>'[1]OUTWARD '!C371</f>
        <v>0</v>
      </c>
    </row>
    <row r="372" spans="1:3" x14ac:dyDescent="0.45">
      <c r="A372">
        <f>'[1]OUTWARD '!A372</f>
        <v>0</v>
      </c>
      <c r="B372">
        <f>'[1]OUTWARD '!B372</f>
        <v>0</v>
      </c>
      <c r="C372">
        <f>'[1]OUTWARD '!C372</f>
        <v>0</v>
      </c>
    </row>
    <row r="373" spans="1:3" x14ac:dyDescent="0.45">
      <c r="A373">
        <f>'[1]OUTWARD '!A373</f>
        <v>0</v>
      </c>
      <c r="B373">
        <f>'[1]OUTWARD '!B373</f>
        <v>0</v>
      </c>
      <c r="C373">
        <f>'[1]OUTWARD '!C373</f>
        <v>0</v>
      </c>
    </row>
    <row r="374" spans="1:3" x14ac:dyDescent="0.45">
      <c r="A374">
        <f>'[1]OUTWARD '!A374</f>
        <v>0</v>
      </c>
      <c r="B374">
        <f>'[1]OUTWARD '!B374</f>
        <v>0</v>
      </c>
      <c r="C374">
        <f>'[1]OUTWARD '!C374</f>
        <v>0</v>
      </c>
    </row>
    <row r="375" spans="1:3" x14ac:dyDescent="0.45">
      <c r="A375">
        <f>'[1]OUTWARD '!A375</f>
        <v>0</v>
      </c>
      <c r="B375">
        <f>'[1]OUTWARD '!B375</f>
        <v>0</v>
      </c>
      <c r="C375">
        <f>'[1]OUTWARD '!C375</f>
        <v>0</v>
      </c>
    </row>
    <row r="376" spans="1:3" x14ac:dyDescent="0.45">
      <c r="A376">
        <f>'[1]OUTWARD '!A376</f>
        <v>0</v>
      </c>
      <c r="B376">
        <f>'[1]OUTWARD '!B376</f>
        <v>0</v>
      </c>
      <c r="C376">
        <f>'[1]OUTWARD '!C376</f>
        <v>0</v>
      </c>
    </row>
    <row r="377" spans="1:3" x14ac:dyDescent="0.45">
      <c r="A377">
        <f>'[1]OUTWARD '!A377</f>
        <v>0</v>
      </c>
      <c r="B377">
        <f>'[1]OUTWARD '!B377</f>
        <v>0</v>
      </c>
      <c r="C377">
        <f>'[1]OUTWARD '!C377</f>
        <v>0</v>
      </c>
    </row>
    <row r="378" spans="1:3" x14ac:dyDescent="0.45">
      <c r="A378">
        <f>'[1]OUTWARD '!A378</f>
        <v>0</v>
      </c>
      <c r="B378">
        <f>'[1]OUTWARD '!B378</f>
        <v>0</v>
      </c>
      <c r="C378">
        <f>'[1]OUTWARD '!C378</f>
        <v>0</v>
      </c>
    </row>
    <row r="379" spans="1:3" x14ac:dyDescent="0.45">
      <c r="A379">
        <f>'[1]OUTWARD '!A379</f>
        <v>0</v>
      </c>
      <c r="B379">
        <f>'[1]OUTWARD '!B379</f>
        <v>0</v>
      </c>
      <c r="C379">
        <f>'[1]OUTWARD '!C379</f>
        <v>0</v>
      </c>
    </row>
    <row r="380" spans="1:3" x14ac:dyDescent="0.45">
      <c r="A380">
        <f>'[1]OUTWARD '!A380</f>
        <v>0</v>
      </c>
      <c r="B380">
        <f>'[1]OUTWARD '!B380</f>
        <v>0</v>
      </c>
      <c r="C380">
        <f>'[1]OUTWARD '!C380</f>
        <v>0</v>
      </c>
    </row>
    <row r="381" spans="1:3" x14ac:dyDescent="0.45">
      <c r="A381">
        <f>'[1]OUTWARD '!A381</f>
        <v>0</v>
      </c>
      <c r="B381">
        <f>'[1]OUTWARD '!B381</f>
        <v>0</v>
      </c>
      <c r="C381">
        <f>'[1]OUTWARD '!C381</f>
        <v>0</v>
      </c>
    </row>
    <row r="382" spans="1:3" x14ac:dyDescent="0.45">
      <c r="A382">
        <f>'[1]OUTWARD '!A382</f>
        <v>0</v>
      </c>
      <c r="B382">
        <f>'[1]OUTWARD '!B382</f>
        <v>0</v>
      </c>
      <c r="C382">
        <f>'[1]OUTWARD '!C382</f>
        <v>0</v>
      </c>
    </row>
    <row r="383" spans="1:3" x14ac:dyDescent="0.45">
      <c r="A383">
        <f>'[1]OUTWARD '!A383</f>
        <v>0</v>
      </c>
      <c r="B383">
        <f>'[1]OUTWARD '!B383</f>
        <v>0</v>
      </c>
      <c r="C383">
        <f>'[1]OUTWARD '!C383</f>
        <v>0</v>
      </c>
    </row>
    <row r="384" spans="1:3" x14ac:dyDescent="0.45">
      <c r="A384">
        <f>'[1]OUTWARD '!A384</f>
        <v>0</v>
      </c>
      <c r="B384">
        <f>'[1]OUTWARD '!B384</f>
        <v>0</v>
      </c>
      <c r="C384">
        <f>'[1]OUTWARD '!C384</f>
        <v>0</v>
      </c>
    </row>
    <row r="385" spans="1:3" x14ac:dyDescent="0.45">
      <c r="A385">
        <f>'[1]OUTWARD '!A385</f>
        <v>0</v>
      </c>
      <c r="B385">
        <f>'[1]OUTWARD '!B385</f>
        <v>0</v>
      </c>
      <c r="C385">
        <f>'[1]OUTWARD '!C385</f>
        <v>0</v>
      </c>
    </row>
    <row r="386" spans="1:3" x14ac:dyDescent="0.45">
      <c r="A386">
        <f>'[1]OUTWARD '!A386</f>
        <v>0</v>
      </c>
      <c r="B386">
        <f>'[1]OUTWARD '!B386</f>
        <v>0</v>
      </c>
      <c r="C386">
        <f>'[1]OUTWARD '!C386</f>
        <v>0</v>
      </c>
    </row>
    <row r="387" spans="1:3" x14ac:dyDescent="0.45">
      <c r="A387">
        <f>'[1]OUTWARD '!A387</f>
        <v>0</v>
      </c>
      <c r="B387">
        <f>'[1]OUTWARD '!B387</f>
        <v>0</v>
      </c>
      <c r="C387">
        <f>'[1]OUTWARD '!C387</f>
        <v>0</v>
      </c>
    </row>
    <row r="388" spans="1:3" x14ac:dyDescent="0.45">
      <c r="A388">
        <f>'[1]OUTWARD '!A388</f>
        <v>0</v>
      </c>
      <c r="B388">
        <f>'[1]OUTWARD '!B388</f>
        <v>0</v>
      </c>
      <c r="C388">
        <f>'[1]OUTWARD '!C388</f>
        <v>0</v>
      </c>
    </row>
    <row r="389" spans="1:3" x14ac:dyDescent="0.45">
      <c r="A389">
        <f>'[1]OUTWARD '!A389</f>
        <v>0</v>
      </c>
      <c r="B389">
        <f>'[1]OUTWARD '!B389</f>
        <v>0</v>
      </c>
      <c r="C389">
        <f>'[1]OUTWARD '!C389</f>
        <v>0</v>
      </c>
    </row>
    <row r="390" spans="1:3" x14ac:dyDescent="0.45">
      <c r="A390">
        <f>'[1]OUTWARD '!A390</f>
        <v>0</v>
      </c>
      <c r="B390">
        <f>'[1]OUTWARD '!B390</f>
        <v>0</v>
      </c>
      <c r="C390">
        <f>'[1]OUTWARD '!C390</f>
        <v>0</v>
      </c>
    </row>
    <row r="391" spans="1:3" x14ac:dyDescent="0.45">
      <c r="A391">
        <f>'[1]OUTWARD '!A391</f>
        <v>0</v>
      </c>
      <c r="B391">
        <f>'[1]OUTWARD '!B391</f>
        <v>0</v>
      </c>
      <c r="C391">
        <f>'[1]OUTWARD '!C391</f>
        <v>0</v>
      </c>
    </row>
    <row r="392" spans="1:3" x14ac:dyDescent="0.45">
      <c r="A392">
        <f>'[1]OUTWARD '!A392</f>
        <v>0</v>
      </c>
      <c r="B392">
        <f>'[1]OUTWARD '!B392</f>
        <v>0</v>
      </c>
      <c r="C392">
        <f>'[1]OUTWARD '!C392</f>
        <v>0</v>
      </c>
    </row>
    <row r="393" spans="1:3" x14ac:dyDescent="0.45">
      <c r="A393">
        <f>'[1]OUTWARD '!A393</f>
        <v>0</v>
      </c>
      <c r="B393">
        <f>'[1]OUTWARD '!B393</f>
        <v>0</v>
      </c>
      <c r="C393">
        <f>'[1]OUTWARD '!C393</f>
        <v>0</v>
      </c>
    </row>
    <row r="394" spans="1:3" x14ac:dyDescent="0.45">
      <c r="A394">
        <f>'[1]OUTWARD '!A394</f>
        <v>0</v>
      </c>
      <c r="B394">
        <f>'[1]OUTWARD '!B394</f>
        <v>0</v>
      </c>
      <c r="C394">
        <f>'[1]OUTWARD '!C394</f>
        <v>0</v>
      </c>
    </row>
    <row r="395" spans="1:3" x14ac:dyDescent="0.45">
      <c r="A395">
        <f>'[1]OUTWARD '!A395</f>
        <v>0</v>
      </c>
      <c r="B395">
        <f>'[1]OUTWARD '!B395</f>
        <v>0</v>
      </c>
      <c r="C395">
        <f>'[1]OUTWARD '!C395</f>
        <v>0</v>
      </c>
    </row>
    <row r="396" spans="1:3" x14ac:dyDescent="0.45">
      <c r="A396">
        <f>'[1]OUTWARD '!A396</f>
        <v>0</v>
      </c>
      <c r="B396">
        <f>'[1]OUTWARD '!B396</f>
        <v>0</v>
      </c>
      <c r="C396">
        <f>'[1]OUTWARD '!C396</f>
        <v>0</v>
      </c>
    </row>
    <row r="397" spans="1:3" x14ac:dyDescent="0.45">
      <c r="A397">
        <f>'[1]OUTWARD '!A397</f>
        <v>0</v>
      </c>
      <c r="B397">
        <f>'[1]OUTWARD '!B397</f>
        <v>0</v>
      </c>
      <c r="C397">
        <f>'[1]OUTWARD '!C397</f>
        <v>0</v>
      </c>
    </row>
    <row r="398" spans="1:3" x14ac:dyDescent="0.45">
      <c r="A398">
        <f>'[1]OUTWARD '!A398</f>
        <v>0</v>
      </c>
      <c r="B398">
        <f>'[1]OUTWARD '!B398</f>
        <v>0</v>
      </c>
      <c r="C398">
        <f>'[1]OUTWARD '!C398</f>
        <v>0</v>
      </c>
    </row>
    <row r="399" spans="1:3" x14ac:dyDescent="0.45">
      <c r="A399">
        <f>'[1]OUTWARD '!A399</f>
        <v>0</v>
      </c>
      <c r="B399">
        <f>'[1]OUTWARD '!B399</f>
        <v>0</v>
      </c>
      <c r="C399">
        <f>'[1]OUTWARD '!C399</f>
        <v>0</v>
      </c>
    </row>
    <row r="400" spans="1:3" x14ac:dyDescent="0.45">
      <c r="A400">
        <f>'[1]OUTWARD '!A400</f>
        <v>0</v>
      </c>
      <c r="B400">
        <f>'[1]OUTWARD '!B400</f>
        <v>0</v>
      </c>
      <c r="C400">
        <f>'[1]OUTWARD '!C400</f>
        <v>0</v>
      </c>
    </row>
    <row r="401" spans="1:3" x14ac:dyDescent="0.45">
      <c r="A401">
        <f>'[1]OUTWARD '!A401</f>
        <v>0</v>
      </c>
      <c r="B401">
        <f>'[1]OUTWARD '!B401</f>
        <v>0</v>
      </c>
      <c r="C401">
        <f>'[1]OUTWARD '!C401</f>
        <v>0</v>
      </c>
    </row>
    <row r="402" spans="1:3" x14ac:dyDescent="0.45">
      <c r="A402">
        <f>'[1]OUTWARD '!A402</f>
        <v>0</v>
      </c>
      <c r="B402">
        <f>'[1]OUTWARD '!B402</f>
        <v>0</v>
      </c>
      <c r="C402">
        <f>'[1]OUTWARD '!C402</f>
        <v>0</v>
      </c>
    </row>
    <row r="403" spans="1:3" x14ac:dyDescent="0.45">
      <c r="A403">
        <f>'[1]OUTWARD '!A403</f>
        <v>0</v>
      </c>
      <c r="B403">
        <f>'[1]OUTWARD '!B403</f>
        <v>0</v>
      </c>
      <c r="C403">
        <f>'[1]OUTWARD '!C403</f>
        <v>0</v>
      </c>
    </row>
    <row r="404" spans="1:3" x14ac:dyDescent="0.45">
      <c r="A404">
        <f>'[1]OUTWARD '!A404</f>
        <v>0</v>
      </c>
      <c r="B404">
        <f>'[1]OUTWARD '!B404</f>
        <v>0</v>
      </c>
      <c r="C404">
        <f>'[1]OUTWARD '!C404</f>
        <v>0</v>
      </c>
    </row>
    <row r="405" spans="1:3" x14ac:dyDescent="0.45">
      <c r="A405">
        <f>'[1]OUTWARD '!A405</f>
        <v>0</v>
      </c>
      <c r="B405">
        <f>'[1]OUTWARD '!B405</f>
        <v>0</v>
      </c>
      <c r="C405">
        <f>'[1]OUTWARD '!C405</f>
        <v>0</v>
      </c>
    </row>
    <row r="406" spans="1:3" x14ac:dyDescent="0.45">
      <c r="A406">
        <f>'[1]OUTWARD '!A406</f>
        <v>0</v>
      </c>
      <c r="B406">
        <f>'[1]OUTWARD '!B406</f>
        <v>0</v>
      </c>
      <c r="C406">
        <f>'[1]OUTWARD '!C406</f>
        <v>0</v>
      </c>
    </row>
    <row r="407" spans="1:3" x14ac:dyDescent="0.45">
      <c r="A407">
        <f>'[1]OUTWARD '!A407</f>
        <v>0</v>
      </c>
      <c r="B407">
        <f>'[1]OUTWARD '!B407</f>
        <v>0</v>
      </c>
      <c r="C407">
        <f>'[1]OUTWARD '!C407</f>
        <v>0</v>
      </c>
    </row>
    <row r="408" spans="1:3" x14ac:dyDescent="0.45">
      <c r="A408">
        <f>'[1]OUTWARD '!A408</f>
        <v>0</v>
      </c>
      <c r="B408">
        <f>'[1]OUTWARD '!B408</f>
        <v>0</v>
      </c>
      <c r="C408">
        <f>'[1]OUTWARD '!C408</f>
        <v>0</v>
      </c>
    </row>
    <row r="409" spans="1:3" x14ac:dyDescent="0.45">
      <c r="A409">
        <f>'[1]OUTWARD '!A409</f>
        <v>0</v>
      </c>
      <c r="B409">
        <f>'[1]OUTWARD '!B409</f>
        <v>0</v>
      </c>
      <c r="C409">
        <f>'[1]OUTWARD '!C409</f>
        <v>0</v>
      </c>
    </row>
    <row r="410" spans="1:3" x14ac:dyDescent="0.45">
      <c r="A410">
        <f>'[1]OUTWARD '!A410</f>
        <v>0</v>
      </c>
      <c r="B410">
        <f>'[1]OUTWARD '!B410</f>
        <v>0</v>
      </c>
      <c r="C410">
        <f>'[1]OUTWARD '!C410</f>
        <v>0</v>
      </c>
    </row>
    <row r="411" spans="1:3" x14ac:dyDescent="0.45">
      <c r="A411">
        <f>'[1]OUTWARD '!A411</f>
        <v>0</v>
      </c>
      <c r="B411">
        <f>'[1]OUTWARD '!B411</f>
        <v>0</v>
      </c>
      <c r="C411">
        <f>'[1]OUTWARD '!C411</f>
        <v>0</v>
      </c>
    </row>
    <row r="412" spans="1:3" x14ac:dyDescent="0.45">
      <c r="A412">
        <f>'[1]OUTWARD '!A412</f>
        <v>0</v>
      </c>
      <c r="B412">
        <f>'[1]OUTWARD '!B412</f>
        <v>0</v>
      </c>
      <c r="C412">
        <f>'[1]OUTWARD '!C412</f>
        <v>0</v>
      </c>
    </row>
    <row r="413" spans="1:3" x14ac:dyDescent="0.45">
      <c r="A413">
        <f>'[1]OUTWARD '!A413</f>
        <v>0</v>
      </c>
      <c r="B413">
        <f>'[1]OUTWARD '!B413</f>
        <v>0</v>
      </c>
      <c r="C413">
        <f>'[1]OUTWARD '!C413</f>
        <v>0</v>
      </c>
    </row>
    <row r="414" spans="1:3" x14ac:dyDescent="0.45">
      <c r="A414">
        <f>'[1]OUTWARD '!A414</f>
        <v>0</v>
      </c>
      <c r="B414">
        <f>'[1]OUTWARD '!B414</f>
        <v>0</v>
      </c>
      <c r="C414">
        <f>'[1]OUTWARD '!C414</f>
        <v>0</v>
      </c>
    </row>
    <row r="415" spans="1:3" x14ac:dyDescent="0.45">
      <c r="A415">
        <f>'[1]OUTWARD '!A415</f>
        <v>0</v>
      </c>
      <c r="B415">
        <f>'[1]OUTWARD '!B415</f>
        <v>0</v>
      </c>
      <c r="C415">
        <f>'[1]OUTWARD '!C415</f>
        <v>0</v>
      </c>
    </row>
    <row r="416" spans="1:3" x14ac:dyDescent="0.45">
      <c r="A416">
        <f>'[1]OUTWARD '!A416</f>
        <v>0</v>
      </c>
      <c r="B416">
        <f>'[1]OUTWARD '!B416</f>
        <v>0</v>
      </c>
      <c r="C416">
        <f>'[1]OUTWARD '!C416</f>
        <v>0</v>
      </c>
    </row>
    <row r="417" spans="1:3" x14ac:dyDescent="0.45">
      <c r="A417">
        <f>'[1]OUTWARD '!A417</f>
        <v>0</v>
      </c>
      <c r="B417">
        <f>'[1]OUTWARD '!B417</f>
        <v>0</v>
      </c>
      <c r="C417">
        <f>'[1]OUTWARD '!C417</f>
        <v>0</v>
      </c>
    </row>
    <row r="418" spans="1:3" x14ac:dyDescent="0.45">
      <c r="A418">
        <f>'[1]OUTWARD '!A418</f>
        <v>0</v>
      </c>
      <c r="B418">
        <f>'[1]OUTWARD '!B418</f>
        <v>0</v>
      </c>
    </row>
    <row r="419" spans="1:3" x14ac:dyDescent="0.45">
      <c r="C419" s="6">
        <f>'[1]INWARD TOTAL'!H419-'[1]OUTWARD '!C419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</dc:creator>
  <cp:lastModifiedBy>Dell</cp:lastModifiedBy>
  <dcterms:created xsi:type="dcterms:W3CDTF">2015-06-05T18:17:20Z</dcterms:created>
  <dcterms:modified xsi:type="dcterms:W3CDTF">2026-07-19T18:44:00Z</dcterms:modified>
</cp:coreProperties>
</file>